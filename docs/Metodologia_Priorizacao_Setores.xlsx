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esibahia-my.sharepoint.com/personal/yuri_dantas_fieb_org_br/Documents/Arquivos de Chat do Microsoft Teams/"/>
    </mc:Choice>
  </mc:AlternateContent>
  <xr:revisionPtr revIDLastSave="0" documentId="8_{4ADBD79A-C95F-4A0A-9A90-BE13B443F1BD}" xr6:coauthVersionLast="47" xr6:coauthVersionMax="47" xr10:uidLastSave="{00000000-0000-0000-0000-000000000000}"/>
  <bookViews>
    <workbookView xWindow="28680" yWindow="-120" windowWidth="29040" windowHeight="15720" tabRatio="500" firstSheet="2" activeTab="2" xr2:uid="{00000000-000D-0000-FFFF-FFFF00000000}"/>
  </bookViews>
  <sheets>
    <sheet name="Config_Indicadores" sheetId="1" r:id="rId1"/>
    <sheet name="Base_dados" sheetId="2" r:id="rId2"/>
    <sheet name="Score_Priorizacao" sheetId="3" r:id="rId3"/>
    <sheet name="Síntese2" sheetId="15" state="hidden" r:id="rId4"/>
    <sheet name="Compras_CNAE" sheetId="8" state="hidden" r:id="rId5"/>
    <sheet name="Dependencia_CNAE" sheetId="10" state="hidden" r:id="rId6"/>
    <sheet name="RAIS Vínculos - Bahia 2023-2025" sheetId="5" state="hidden" r:id="rId7"/>
    <sheet name="RAIS Estabelecimentos - Bah (2)" sheetId="7" state="hidden" r:id="rId8"/>
    <sheet name="Complexidade" sheetId="11" state="hidden" r:id="rId9"/>
    <sheet name="CNAE_TSB" sheetId="12" state="hidden" r:id="rId10"/>
    <sheet name="CNAE_GST" sheetId="13" state="hidden" r:id="rId11"/>
  </sheets>
  <definedNames>
    <definedName name="_xlnm._FilterDatabase" localSheetId="4" hidden="1">Compras_CNAE!$A$1:$F$87</definedName>
    <definedName name="_xlnm._FilterDatabase" localSheetId="3" hidden="1">Síntese2!$A$1:$G$85</definedName>
    <definedName name="DadosExternos_1" localSheetId="7" hidden="1">'RAIS Estabelecimentos - Bah (2)'!$A$1:$F$435</definedName>
    <definedName name="DadosExternos_1" localSheetId="6" hidden="1">'RAIS Vínculos - Bahia 2023-2025'!$A$1:$F$424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3" l="1"/>
  <c r="L60" i="3"/>
  <c r="L28" i="3"/>
  <c r="L5" i="3"/>
  <c r="L11" i="3"/>
  <c r="L6" i="3"/>
  <c r="L40" i="3"/>
  <c r="L39" i="3"/>
  <c r="L78" i="3"/>
  <c r="L18" i="3"/>
  <c r="L71" i="3"/>
  <c r="L19" i="3"/>
  <c r="L10" i="3"/>
  <c r="L14" i="3"/>
  <c r="L12" i="3"/>
  <c r="L50" i="3"/>
  <c r="L32" i="3"/>
  <c r="L75" i="3"/>
  <c r="L26" i="3"/>
  <c r="L38" i="3"/>
  <c r="L53" i="3"/>
  <c r="L37" i="3"/>
  <c r="L82" i="3"/>
  <c r="L44" i="3"/>
  <c r="L43" i="3"/>
  <c r="L20" i="3"/>
  <c r="L8" i="3"/>
  <c r="L25" i="3"/>
  <c r="L65" i="3"/>
  <c r="L63" i="3"/>
  <c r="L49" i="3"/>
  <c r="L85" i="3"/>
  <c r="L57" i="3"/>
  <c r="L72" i="3"/>
  <c r="L24" i="3"/>
  <c r="L31" i="3"/>
  <c r="L68" i="3"/>
  <c r="L21" i="3"/>
  <c r="L33" i="3"/>
  <c r="L22" i="3"/>
  <c r="L7" i="3"/>
  <c r="L41" i="3"/>
  <c r="L36" i="3"/>
  <c r="L64" i="3"/>
  <c r="L74" i="3"/>
  <c r="L47" i="3"/>
  <c r="L58" i="3"/>
  <c r="L30" i="3"/>
  <c r="L46" i="3"/>
  <c r="L83" i="3"/>
  <c r="L23" i="3"/>
  <c r="L62" i="3"/>
  <c r="L84" i="3"/>
  <c r="L66" i="3"/>
  <c r="L13" i="3"/>
  <c r="L15" i="3"/>
  <c r="L59" i="3"/>
  <c r="L29" i="3"/>
  <c r="L51" i="3"/>
  <c r="L34" i="3"/>
  <c r="L16" i="3"/>
  <c r="L81" i="3"/>
  <c r="L69" i="3"/>
  <c r="L56" i="3"/>
  <c r="L9" i="3"/>
  <c r="L54" i="3"/>
  <c r="L27" i="3"/>
  <c r="L42" i="3"/>
  <c r="L67" i="3"/>
  <c r="L77" i="3"/>
  <c r="L48" i="3"/>
  <c r="L17" i="3"/>
  <c r="L35" i="3"/>
  <c r="L79" i="3"/>
  <c r="L70" i="3"/>
  <c r="L61" i="3"/>
  <c r="L80" i="3"/>
  <c r="L86" i="3"/>
  <c r="L55" i="3"/>
  <c r="L52" i="3"/>
  <c r="L45" i="3"/>
  <c r="L73" i="3"/>
  <c r="L76" i="3"/>
  <c r="K60" i="3"/>
  <c r="K28" i="3"/>
  <c r="K5" i="3"/>
  <c r="K11" i="3"/>
  <c r="K6" i="3"/>
  <c r="K40" i="3"/>
  <c r="K39" i="3"/>
  <c r="K78" i="3"/>
  <c r="K18" i="3"/>
  <c r="K71" i="3"/>
  <c r="K19" i="3"/>
  <c r="K10" i="3"/>
  <c r="K14" i="3"/>
  <c r="K12" i="3"/>
  <c r="K50" i="3"/>
  <c r="K32" i="3"/>
  <c r="K75" i="3"/>
  <c r="K26" i="3"/>
  <c r="K38" i="3"/>
  <c r="K53" i="3"/>
  <c r="K37" i="3"/>
  <c r="K82" i="3"/>
  <c r="K44" i="3"/>
  <c r="K43" i="3"/>
  <c r="K20" i="3"/>
  <c r="K8" i="3"/>
  <c r="K25" i="3"/>
  <c r="K65" i="3"/>
  <c r="K63" i="3"/>
  <c r="K49" i="3"/>
  <c r="K85" i="3"/>
  <c r="K57" i="3"/>
  <c r="K72" i="3"/>
  <c r="K24" i="3"/>
  <c r="K31" i="3"/>
  <c r="K68" i="3"/>
  <c r="K21" i="3"/>
  <c r="K33" i="3"/>
  <c r="K22" i="3"/>
  <c r="K7" i="3"/>
  <c r="K41" i="3"/>
  <c r="K36" i="3"/>
  <c r="K64" i="3"/>
  <c r="K74" i="3"/>
  <c r="K47" i="3"/>
  <c r="K58" i="3"/>
  <c r="K30" i="3"/>
  <c r="K46" i="3"/>
  <c r="K83" i="3"/>
  <c r="K23" i="3"/>
  <c r="K62" i="3"/>
  <c r="K84" i="3"/>
  <c r="K66" i="3"/>
  <c r="K13" i="3"/>
  <c r="K15" i="3"/>
  <c r="K59" i="3"/>
  <c r="K29" i="3"/>
  <c r="K51" i="3"/>
  <c r="K34" i="3"/>
  <c r="K16" i="3"/>
  <c r="K81" i="3"/>
  <c r="K69" i="3"/>
  <c r="K56" i="3"/>
  <c r="K9" i="3"/>
  <c r="K54" i="3"/>
  <c r="K27" i="3"/>
  <c r="K42" i="3"/>
  <c r="K67" i="3"/>
  <c r="K77" i="3"/>
  <c r="K48" i="3"/>
  <c r="K17" i="3"/>
  <c r="K35" i="3"/>
  <c r="K79" i="3"/>
  <c r="K70" i="3"/>
  <c r="K61" i="3"/>
  <c r="K80" i="3"/>
  <c r="K86" i="3"/>
  <c r="K55" i="3"/>
  <c r="K52" i="3"/>
  <c r="K45" i="3"/>
  <c r="K73" i="3"/>
  <c r="K76" i="3"/>
  <c r="H77" i="3"/>
  <c r="H18" i="3"/>
  <c r="H10" i="3"/>
  <c r="H28" i="3"/>
  <c r="H68" i="3"/>
  <c r="H87" i="3"/>
  <c r="H66" i="3"/>
  <c r="H46" i="3"/>
  <c r="H38" i="3"/>
  <c r="H65" i="3"/>
  <c r="H40" i="3"/>
  <c r="H71" i="3"/>
  <c r="H19" i="3"/>
  <c r="H62" i="3"/>
  <c r="H16" i="3"/>
  <c r="H21" i="3"/>
  <c r="H60" i="3"/>
  <c r="H5" i="3"/>
  <c r="H31" i="3"/>
  <c r="H11" i="3"/>
  <c r="H49" i="3"/>
  <c r="H69" i="3"/>
  <c r="H32" i="3"/>
  <c r="H9" i="3"/>
  <c r="H83" i="3"/>
  <c r="H47" i="3"/>
  <c r="H14" i="3"/>
  <c r="H24" i="3"/>
  <c r="H12" i="3"/>
  <c r="H7" i="3"/>
  <c r="H15" i="3"/>
  <c r="H27" i="3"/>
  <c r="H33" i="3"/>
  <c r="H50" i="3"/>
  <c r="H6" i="3"/>
  <c r="H44" i="3"/>
  <c r="H37" i="3"/>
  <c r="H25" i="3"/>
  <c r="H30" i="3"/>
  <c r="H53" i="3"/>
  <c r="H48" i="3"/>
  <c r="H23" i="3"/>
  <c r="H39" i="3"/>
  <c r="H41" i="3"/>
  <c r="H13" i="3"/>
  <c r="H57" i="3"/>
  <c r="H75" i="3"/>
  <c r="H36" i="3"/>
  <c r="H8" i="3"/>
  <c r="H63" i="3"/>
  <c r="H26" i="3"/>
  <c r="H76" i="3"/>
  <c r="H74" i="3"/>
  <c r="H42" i="3"/>
  <c r="H22" i="3"/>
  <c r="H20" i="3"/>
  <c r="H64" i="3"/>
  <c r="H78" i="3"/>
  <c r="H43" i="3"/>
  <c r="H29" i="3"/>
  <c r="H35" i="3"/>
  <c r="H82" i="3"/>
  <c r="H54" i="3"/>
  <c r="H17" i="3"/>
  <c r="H56" i="3"/>
  <c r="H72" i="3"/>
  <c r="H84" i="3"/>
  <c r="H45" i="3"/>
  <c r="H59" i="3"/>
  <c r="H58" i="3"/>
  <c r="H85" i="3"/>
  <c r="H51" i="3"/>
  <c r="H52" i="3"/>
  <c r="H34" i="3"/>
  <c r="H81" i="3"/>
  <c r="H67" i="3"/>
  <c r="H79" i="3"/>
  <c r="H70" i="3"/>
  <c r="H61" i="3"/>
  <c r="H86" i="3"/>
  <c r="H80" i="3"/>
  <c r="H55" i="3"/>
  <c r="H73" i="3"/>
  <c r="C77" i="3"/>
  <c r="G5" i="2"/>
  <c r="G6" i="2"/>
  <c r="G7" i="2"/>
  <c r="G8" i="2"/>
  <c r="G9" i="2"/>
  <c r="G55" i="3" s="1"/>
  <c r="G10" i="2"/>
  <c r="G80" i="3" s="1"/>
  <c r="G11" i="2"/>
  <c r="G52" i="3" s="1"/>
  <c r="G12" i="2"/>
  <c r="G13" i="2"/>
  <c r="G70" i="3" s="1"/>
  <c r="G14" i="2"/>
  <c r="G25" i="3" s="1"/>
  <c r="G15" i="2"/>
  <c r="G86" i="3" s="1"/>
  <c r="G16" i="2"/>
  <c r="G35" i="3" s="1"/>
  <c r="G17" i="2"/>
  <c r="G18" i="2"/>
  <c r="G19" i="2"/>
  <c r="G20" i="2"/>
  <c r="G21" i="2"/>
  <c r="G83" i="3" s="1"/>
  <c r="G22" i="2"/>
  <c r="G69" i="3" s="1"/>
  <c r="G23" i="2"/>
  <c r="G60" i="3" s="1"/>
  <c r="G24" i="2"/>
  <c r="G25" i="2"/>
  <c r="G61" i="3" s="1"/>
  <c r="G26" i="2"/>
  <c r="G33" i="3" s="1"/>
  <c r="G27" i="2"/>
  <c r="G53" i="3" s="1"/>
  <c r="G28" i="2"/>
  <c r="G22" i="3" s="1"/>
  <c r="G29" i="2"/>
  <c r="G30" i="2"/>
  <c r="G31" i="2"/>
  <c r="G32" i="2"/>
  <c r="G33" i="2"/>
  <c r="G56" i="3" s="1"/>
  <c r="G34" i="2"/>
  <c r="G29" i="3" s="1"/>
  <c r="G35" i="2"/>
  <c r="G59" i="3" s="1"/>
  <c r="G36" i="2"/>
  <c r="G37" i="2"/>
  <c r="G12" i="3" s="1"/>
  <c r="G38" i="2"/>
  <c r="G5" i="3" s="1"/>
  <c r="G39" i="2"/>
  <c r="G41" i="3" s="1"/>
  <c r="G40" i="2"/>
  <c r="G20" i="3" s="1"/>
  <c r="G41" i="2"/>
  <c r="G42" i="2"/>
  <c r="G43" i="2"/>
  <c r="G44" i="2"/>
  <c r="G45" i="2"/>
  <c r="G79" i="3" s="1"/>
  <c r="G46" i="2"/>
  <c r="G78" i="3" s="1"/>
  <c r="G47" i="2"/>
  <c r="G75" i="3" s="1"/>
  <c r="G48" i="2"/>
  <c r="G49" i="2"/>
  <c r="G34" i="3" s="1"/>
  <c r="G50" i="2"/>
  <c r="G48" i="3" s="1"/>
  <c r="G51" i="2"/>
  <c r="G18" i="3" s="1"/>
  <c r="G52" i="2"/>
  <c r="G30" i="3" s="1"/>
  <c r="G53" i="2"/>
  <c r="G54" i="2"/>
  <c r="G55" i="2"/>
  <c r="G56" i="2"/>
  <c r="G57" i="2"/>
  <c r="G19" i="3" s="1"/>
  <c r="G58" i="2"/>
  <c r="G28" i="3" s="1"/>
  <c r="G59" i="2"/>
  <c r="G50" i="3" s="1"/>
  <c r="G60" i="2"/>
  <c r="G61" i="2"/>
  <c r="G46" i="3" s="1"/>
  <c r="G62" i="2"/>
  <c r="G63" i="3" s="1"/>
  <c r="G63" i="2"/>
  <c r="G24" i="3" s="1"/>
  <c r="G64" i="2"/>
  <c r="G57" i="3" s="1"/>
  <c r="G65" i="2"/>
  <c r="G66" i="2"/>
  <c r="G67" i="2"/>
  <c r="G68" i="2"/>
  <c r="G69" i="2"/>
  <c r="G9" i="3" s="1"/>
  <c r="G70" i="2"/>
  <c r="G65" i="3" s="1"/>
  <c r="G71" i="2"/>
  <c r="G74" i="3" s="1"/>
  <c r="G72" i="2"/>
  <c r="G73" i="2"/>
  <c r="G6" i="3" s="1"/>
  <c r="G74" i="2"/>
  <c r="G11" i="3" s="1"/>
  <c r="G75" i="2"/>
  <c r="G66" i="3" s="1"/>
  <c r="G76" i="2"/>
  <c r="G36" i="3" s="1"/>
  <c r="G77" i="2"/>
  <c r="G78" i="2"/>
  <c r="G79" i="2"/>
  <c r="G80" i="2"/>
  <c r="G81" i="2"/>
  <c r="G38" i="3" s="1"/>
  <c r="G82" i="2"/>
  <c r="G23" i="3" s="1"/>
  <c r="G83" i="2"/>
  <c r="G62" i="3" s="1"/>
  <c r="G84" i="2"/>
  <c r="G85" i="2"/>
  <c r="G16" i="3" s="1"/>
  <c r="G86" i="2"/>
  <c r="G27" i="3" s="1"/>
  <c r="G87" i="2"/>
  <c r="G26" i="3" s="1"/>
  <c r="F6" i="2"/>
  <c r="F7" i="2"/>
  <c r="F8" i="2"/>
  <c r="F9" i="2"/>
  <c r="F10" i="2"/>
  <c r="F11" i="2"/>
  <c r="F52" i="3" s="1"/>
  <c r="F12" i="2"/>
  <c r="F17" i="3" s="1"/>
  <c r="F13" i="2"/>
  <c r="F70" i="3" s="1"/>
  <c r="F14" i="2"/>
  <c r="F25" i="3" s="1"/>
  <c r="F15" i="2"/>
  <c r="F86" i="3" s="1"/>
  <c r="F16" i="2"/>
  <c r="F35" i="3" s="1"/>
  <c r="F17" i="2"/>
  <c r="F84" i="3" s="1"/>
  <c r="F18" i="2"/>
  <c r="F19" i="2"/>
  <c r="F20" i="2"/>
  <c r="F21" i="2"/>
  <c r="F22" i="2"/>
  <c r="F23" i="2"/>
  <c r="F60" i="3" s="1"/>
  <c r="F24" i="2"/>
  <c r="F76" i="3" s="1"/>
  <c r="F25" i="2"/>
  <c r="F61" i="3" s="1"/>
  <c r="F26" i="2"/>
  <c r="F33" i="3" s="1"/>
  <c r="F27" i="2"/>
  <c r="F53" i="3" s="1"/>
  <c r="F28" i="2"/>
  <c r="F22" i="3" s="1"/>
  <c r="F29" i="2"/>
  <c r="F42" i="3" s="1"/>
  <c r="F30" i="2"/>
  <c r="F31" i="2"/>
  <c r="F32" i="2"/>
  <c r="F33" i="2"/>
  <c r="F34" i="2"/>
  <c r="F35" i="2"/>
  <c r="F59" i="3" s="1"/>
  <c r="F36" i="2"/>
  <c r="F37" i="3" s="1"/>
  <c r="F37" i="2"/>
  <c r="F12" i="3" s="1"/>
  <c r="F38" i="2"/>
  <c r="F5" i="3" s="1"/>
  <c r="F39" i="2"/>
  <c r="F41" i="3" s="1"/>
  <c r="F40" i="2"/>
  <c r="F20" i="3" s="1"/>
  <c r="F41" i="2"/>
  <c r="F64" i="3" s="1"/>
  <c r="F42" i="2"/>
  <c r="F43" i="2"/>
  <c r="F44" i="2"/>
  <c r="F45" i="2"/>
  <c r="F46" i="2"/>
  <c r="F47" i="2"/>
  <c r="F75" i="3" s="1"/>
  <c r="F48" i="2"/>
  <c r="F54" i="3" s="1"/>
  <c r="F49" i="2"/>
  <c r="F34" i="3" s="1"/>
  <c r="F50" i="2"/>
  <c r="F48" i="3" s="1"/>
  <c r="F51" i="2"/>
  <c r="F18" i="3" s="1"/>
  <c r="F52" i="2"/>
  <c r="F30" i="3" s="1"/>
  <c r="F53" i="2"/>
  <c r="F39" i="3" s="1"/>
  <c r="F54" i="2"/>
  <c r="F55" i="2"/>
  <c r="F56" i="2"/>
  <c r="F57" i="2"/>
  <c r="F58" i="2"/>
  <c r="F59" i="2"/>
  <c r="F50" i="3" s="1"/>
  <c r="F60" i="2"/>
  <c r="F85" i="3" s="1"/>
  <c r="F61" i="2"/>
  <c r="F46" i="3" s="1"/>
  <c r="F62" i="2"/>
  <c r="F63" i="3" s="1"/>
  <c r="F63" i="2"/>
  <c r="F24" i="3" s="1"/>
  <c r="F64" i="2"/>
  <c r="F57" i="3" s="1"/>
  <c r="F65" i="2"/>
  <c r="F14" i="3" s="1"/>
  <c r="F66" i="2"/>
  <c r="F67" i="2"/>
  <c r="F68" i="2"/>
  <c r="F69" i="2"/>
  <c r="F70" i="2"/>
  <c r="F71" i="2"/>
  <c r="F74" i="3" s="1"/>
  <c r="F72" i="2"/>
  <c r="F68" i="3" s="1"/>
  <c r="F73" i="2"/>
  <c r="F6" i="3" s="1"/>
  <c r="F74" i="2"/>
  <c r="F11" i="3" s="1"/>
  <c r="F75" i="2"/>
  <c r="F66" i="3" s="1"/>
  <c r="F76" i="2"/>
  <c r="F36" i="3" s="1"/>
  <c r="F77" i="2"/>
  <c r="F87" i="3" s="1"/>
  <c r="F78" i="2"/>
  <c r="F79" i="2"/>
  <c r="F80" i="2"/>
  <c r="F81" i="2"/>
  <c r="F82" i="2"/>
  <c r="F83" i="2"/>
  <c r="F62" i="3" s="1"/>
  <c r="F84" i="2"/>
  <c r="F7" i="3" s="1"/>
  <c r="F85" i="2"/>
  <c r="F16" i="3" s="1"/>
  <c r="F86" i="2"/>
  <c r="F27" i="3" s="1"/>
  <c r="F87" i="2"/>
  <c r="F26" i="3" s="1"/>
  <c r="F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D5" i="2"/>
  <c r="C73" i="3"/>
  <c r="C82" i="3"/>
  <c r="C51" i="3"/>
  <c r="C55" i="3"/>
  <c r="C80" i="3"/>
  <c r="C52" i="3"/>
  <c r="C17" i="3"/>
  <c r="C70" i="3"/>
  <c r="C25" i="3"/>
  <c r="C86" i="3"/>
  <c r="C35" i="3"/>
  <c r="C84" i="3"/>
  <c r="C72" i="3"/>
  <c r="C31" i="3"/>
  <c r="C13" i="3"/>
  <c r="C83" i="3"/>
  <c r="C69" i="3"/>
  <c r="C76" i="3"/>
  <c r="C61" i="3"/>
  <c r="C33" i="3"/>
  <c r="C53" i="3"/>
  <c r="C22" i="3"/>
  <c r="C42" i="3"/>
  <c r="C81" i="3"/>
  <c r="C44" i="3"/>
  <c r="C43" i="3"/>
  <c r="C56" i="3"/>
  <c r="C29" i="3"/>
  <c r="C59" i="3"/>
  <c r="C37" i="3"/>
  <c r="C12" i="3"/>
  <c r="C5" i="3"/>
  <c r="C41" i="3"/>
  <c r="C20" i="3"/>
  <c r="C64" i="3"/>
  <c r="C32" i="3"/>
  <c r="C67" i="3"/>
  <c r="C45" i="3"/>
  <c r="C79" i="3"/>
  <c r="C78" i="3"/>
  <c r="C75" i="3"/>
  <c r="C54" i="3"/>
  <c r="C34" i="3"/>
  <c r="C48" i="3"/>
  <c r="C18" i="3"/>
  <c r="C30" i="3"/>
  <c r="C39" i="3"/>
  <c r="C8" i="3"/>
  <c r="C40" i="3"/>
  <c r="C47" i="3"/>
  <c r="C19" i="3"/>
  <c r="C28" i="3"/>
  <c r="C50" i="3"/>
  <c r="C85" i="3"/>
  <c r="C46" i="3"/>
  <c r="C63" i="3"/>
  <c r="C24" i="3"/>
  <c r="C57" i="3"/>
  <c r="C14" i="3"/>
  <c r="C58" i="3"/>
  <c r="C49" i="3"/>
  <c r="C21" i="3"/>
  <c r="C9" i="3"/>
  <c r="C65" i="3"/>
  <c r="C74" i="3"/>
  <c r="C68" i="3"/>
  <c r="C6" i="3"/>
  <c r="C11" i="3"/>
  <c r="C66" i="3"/>
  <c r="C36" i="3"/>
  <c r="C87" i="3"/>
  <c r="C10" i="3"/>
  <c r="C71" i="3"/>
  <c r="C15" i="3"/>
  <c r="C38" i="3"/>
  <c r="C23" i="3"/>
  <c r="C62" i="3"/>
  <c r="C7" i="3"/>
  <c r="C16" i="3"/>
  <c r="C27" i="3"/>
  <c r="C26" i="3"/>
  <c r="G73" i="3"/>
  <c r="G82" i="3"/>
  <c r="G77" i="3"/>
  <c r="G51" i="3"/>
  <c r="G17" i="3"/>
  <c r="G84" i="3"/>
  <c r="G72" i="3"/>
  <c r="G31" i="3"/>
  <c r="G13" i="3"/>
  <c r="G76" i="3"/>
  <c r="G42" i="3"/>
  <c r="G81" i="3"/>
  <c r="G44" i="3"/>
  <c r="G43" i="3"/>
  <c r="G37" i="3"/>
  <c r="G64" i="3"/>
  <c r="G32" i="3"/>
  <c r="G67" i="3"/>
  <c r="G45" i="3"/>
  <c r="G54" i="3"/>
  <c r="G39" i="3"/>
  <c r="G8" i="3"/>
  <c r="G40" i="3"/>
  <c r="G47" i="3"/>
  <c r="G85" i="3"/>
  <c r="G14" i="3"/>
  <c r="G58" i="3"/>
  <c r="G49" i="3"/>
  <c r="G21" i="3"/>
  <c r="G68" i="3"/>
  <c r="G87" i="3"/>
  <c r="G10" i="3"/>
  <c r="G71" i="3"/>
  <c r="G15" i="3"/>
  <c r="G7" i="3"/>
  <c r="F73" i="3"/>
  <c r="F82" i="3"/>
  <c r="F77" i="3"/>
  <c r="F51" i="3"/>
  <c r="F55" i="3"/>
  <c r="F80" i="3"/>
  <c r="F72" i="3"/>
  <c r="F31" i="3"/>
  <c r="F13" i="3"/>
  <c r="F83" i="3"/>
  <c r="F69" i="3"/>
  <c r="F81" i="3"/>
  <c r="F44" i="3"/>
  <c r="F43" i="3"/>
  <c r="F56" i="3"/>
  <c r="F29" i="3"/>
  <c r="F32" i="3"/>
  <c r="F67" i="3"/>
  <c r="F45" i="3"/>
  <c r="F79" i="3"/>
  <c r="F78" i="3"/>
  <c r="F8" i="3"/>
  <c r="F40" i="3"/>
  <c r="F47" i="3"/>
  <c r="F19" i="3"/>
  <c r="F28" i="3"/>
  <c r="F58" i="3"/>
  <c r="F49" i="3"/>
  <c r="F21" i="3"/>
  <c r="F9" i="3"/>
  <c r="F65" i="3"/>
  <c r="F10" i="3"/>
  <c r="F71" i="3"/>
  <c r="F15" i="3"/>
  <c r="F38" i="3"/>
  <c r="F23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K27" i="8"/>
  <c r="K17" i="8" s="1"/>
  <c r="J27" i="8"/>
  <c r="K14" i="8"/>
  <c r="J14" i="8"/>
  <c r="K2" i="8"/>
  <c r="F86" i="8"/>
  <c r="E86" i="8"/>
  <c r="D86" i="8"/>
  <c r="C86" i="8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G11" i="1" a="1"/>
  <c r="G11" i="1" s="1"/>
  <c r="L3" i="3" l="1"/>
  <c r="K3" i="3"/>
  <c r="M61" i="3"/>
  <c r="M56" i="3"/>
  <c r="N52" i="3"/>
  <c r="N81" i="3"/>
  <c r="N83" i="3"/>
  <c r="N21" i="3"/>
  <c r="N35" i="3"/>
  <c r="N48" i="3"/>
  <c r="N73" i="3"/>
  <c r="N77" i="3"/>
  <c r="N29" i="3"/>
  <c r="N47" i="3"/>
  <c r="N72" i="3"/>
  <c r="N37" i="3"/>
  <c r="N18" i="3"/>
  <c r="N59" i="3"/>
  <c r="N74" i="3"/>
  <c r="N78" i="3"/>
  <c r="M22" i="3"/>
  <c r="M25" i="3"/>
  <c r="N20" i="3"/>
  <c r="N60" i="3"/>
  <c r="N68" i="3"/>
  <c r="N87" i="3"/>
  <c r="N44" i="3"/>
  <c r="N19" i="3"/>
  <c r="N51" i="3"/>
  <c r="N38" i="3"/>
  <c r="N13" i="3"/>
  <c r="N40" i="3"/>
  <c r="N54" i="3"/>
  <c r="N41" i="3"/>
  <c r="N6" i="3"/>
  <c r="M50" i="3"/>
  <c r="N14" i="3"/>
  <c r="N16" i="3"/>
  <c r="N64" i="3"/>
  <c r="N34" i="3"/>
  <c r="N58" i="3"/>
  <c r="N42" i="3"/>
  <c r="N85" i="3"/>
  <c r="N55" i="3"/>
  <c r="N86" i="3"/>
  <c r="N75" i="3"/>
  <c r="N61" i="3"/>
  <c r="O61" i="3" s="1"/>
  <c r="N56" i="3"/>
  <c r="O56" i="3" s="1"/>
  <c r="N62" i="3"/>
  <c r="N46" i="3"/>
  <c r="N30" i="3"/>
  <c r="N71" i="3"/>
  <c r="N15" i="3"/>
  <c r="N26" i="3"/>
  <c r="N70" i="3"/>
  <c r="N33" i="3"/>
  <c r="N8" i="3"/>
  <c r="N67" i="3"/>
  <c r="M12" i="3"/>
  <c r="M79" i="3"/>
  <c r="M81" i="3"/>
  <c r="M83" i="3"/>
  <c r="M20" i="3"/>
  <c r="M14" i="3"/>
  <c r="M60" i="3"/>
  <c r="N22" i="3"/>
  <c r="N45" i="3"/>
  <c r="N36" i="3"/>
  <c r="M35" i="3"/>
  <c r="M16" i="3"/>
  <c r="M46" i="3"/>
  <c r="M68" i="3"/>
  <c r="M43" i="3"/>
  <c r="M10" i="3"/>
  <c r="M69" i="3"/>
  <c r="M30" i="3"/>
  <c r="N57" i="3"/>
  <c r="N9" i="3"/>
  <c r="M73" i="3"/>
  <c r="M77" i="3"/>
  <c r="M29" i="3"/>
  <c r="M47" i="3"/>
  <c r="M72" i="3"/>
  <c r="M37" i="3"/>
  <c r="M18" i="3"/>
  <c r="N76" i="3"/>
  <c r="N80" i="3"/>
  <c r="N5" i="3"/>
  <c r="N69" i="3"/>
  <c r="N66" i="3"/>
  <c r="N32" i="3"/>
  <c r="M23" i="3"/>
  <c r="N49" i="3"/>
  <c r="M44" i="3"/>
  <c r="N63" i="3"/>
  <c r="M48" i="3"/>
  <c r="N39" i="3"/>
  <c r="M74" i="3"/>
  <c r="M53" i="3"/>
  <c r="N7" i="3"/>
  <c r="N23" i="3"/>
  <c r="N11" i="3"/>
  <c r="M5" i="3"/>
  <c r="N24" i="3"/>
  <c r="M33" i="3"/>
  <c r="N17" i="3"/>
  <c r="M17" i="3"/>
  <c r="M19" i="3"/>
  <c r="N84" i="3"/>
  <c r="N25" i="3"/>
  <c r="M58" i="3"/>
  <c r="N50" i="3"/>
  <c r="M45" i="3"/>
  <c r="M59" i="3"/>
  <c r="O59" i="3" s="1"/>
  <c r="M57" i="3"/>
  <c r="M42" i="3"/>
  <c r="M15" i="3"/>
  <c r="M64" i="3"/>
  <c r="M85" i="3"/>
  <c r="M38" i="3"/>
  <c r="M39" i="3"/>
  <c r="N79" i="3"/>
  <c r="N82" i="3"/>
  <c r="M70" i="3"/>
  <c r="N12" i="3"/>
  <c r="M31" i="3"/>
  <c r="N65" i="3"/>
  <c r="M76" i="3"/>
  <c r="M55" i="3"/>
  <c r="M13" i="3"/>
  <c r="M36" i="3"/>
  <c r="M49" i="3"/>
  <c r="M26" i="3"/>
  <c r="M40" i="3"/>
  <c r="N43" i="3"/>
  <c r="N27" i="3"/>
  <c r="N31" i="3"/>
  <c r="M34" i="3"/>
  <c r="N28" i="3"/>
  <c r="N53" i="3"/>
  <c r="M86" i="3"/>
  <c r="O86" i="3" s="1"/>
  <c r="M54" i="3"/>
  <c r="M66" i="3"/>
  <c r="M41" i="3"/>
  <c r="M63" i="3"/>
  <c r="M75" i="3"/>
  <c r="M6" i="3"/>
  <c r="N10" i="3"/>
  <c r="M28" i="3"/>
  <c r="M80" i="3"/>
  <c r="M9" i="3"/>
  <c r="O9" i="3" s="1"/>
  <c r="M84" i="3"/>
  <c r="M7" i="3"/>
  <c r="M65" i="3"/>
  <c r="M11" i="3"/>
  <c r="M67" i="3"/>
  <c r="M32" i="3"/>
  <c r="M82" i="3"/>
  <c r="M52" i="3"/>
  <c r="M27" i="3"/>
  <c r="M24" i="3"/>
  <c r="M8" i="3"/>
  <c r="M71" i="3"/>
  <c r="M78" i="3"/>
  <c r="O78" i="3" s="1"/>
  <c r="M21" i="3"/>
  <c r="M51" i="3"/>
  <c r="M62" i="3"/>
  <c r="M87" i="3"/>
  <c r="E73" i="3"/>
  <c r="E33" i="3"/>
  <c r="E81" i="3"/>
  <c r="E36" i="3"/>
  <c r="E30" i="3"/>
  <c r="E22" i="3"/>
  <c r="E66" i="3"/>
  <c r="E18" i="3"/>
  <c r="E53" i="3"/>
  <c r="E27" i="3"/>
  <c r="E11" i="3"/>
  <c r="E48" i="3"/>
  <c r="E5" i="3"/>
  <c r="E25" i="3"/>
  <c r="E57" i="3"/>
  <c r="E20" i="3"/>
  <c r="E35" i="3"/>
  <c r="E26" i="3"/>
  <c r="E24" i="3"/>
  <c r="E41" i="3"/>
  <c r="E86" i="3"/>
  <c r="E63" i="3"/>
  <c r="E6" i="3"/>
  <c r="E46" i="3"/>
  <c r="E76" i="3"/>
  <c r="E16" i="3"/>
  <c r="E12" i="3"/>
  <c r="E34" i="3"/>
  <c r="E54" i="3"/>
  <c r="E7" i="3"/>
  <c r="E37" i="3"/>
  <c r="E85" i="3"/>
  <c r="E59" i="3"/>
  <c r="E68" i="3"/>
  <c r="E17" i="3"/>
  <c r="E52" i="3"/>
  <c r="E74" i="3"/>
  <c r="E50" i="3"/>
  <c r="E75" i="3"/>
  <c r="E45" i="3"/>
  <c r="E62" i="3"/>
  <c r="E87" i="3"/>
  <c r="E10" i="3"/>
  <c r="E23" i="3"/>
  <c r="E65" i="3"/>
  <c r="E28" i="3"/>
  <c r="E78" i="3"/>
  <c r="E29" i="3"/>
  <c r="E69" i="3"/>
  <c r="E80" i="3"/>
  <c r="E58" i="3"/>
  <c r="E15" i="3"/>
  <c r="E21" i="3"/>
  <c r="E60" i="3"/>
  <c r="E8" i="3"/>
  <c r="E64" i="3"/>
  <c r="E47" i="3"/>
  <c r="E31" i="3"/>
  <c r="E51" i="3"/>
  <c r="E32" i="3"/>
  <c r="E61" i="3"/>
  <c r="E70" i="3"/>
  <c r="E42" i="3"/>
  <c r="E13" i="3"/>
  <c r="E43" i="3"/>
  <c r="E82" i="3"/>
  <c r="E14" i="3"/>
  <c r="E84" i="3"/>
  <c r="E38" i="3"/>
  <c r="E9" i="3"/>
  <c r="E19" i="3"/>
  <c r="E79" i="3"/>
  <c r="E56" i="3"/>
  <c r="E83" i="3"/>
  <c r="E55" i="3"/>
  <c r="E71" i="3"/>
  <c r="E44" i="3"/>
  <c r="E77" i="3"/>
  <c r="E39" i="3"/>
  <c r="E72" i="3"/>
  <c r="E49" i="3"/>
  <c r="E40" i="3"/>
  <c r="E67" i="3"/>
  <c r="D85" i="3"/>
  <c r="D37" i="3"/>
  <c r="D19" i="3"/>
  <c r="D63" i="3"/>
  <c r="D25" i="3"/>
  <c r="D12" i="3"/>
  <c r="D7" i="3"/>
  <c r="D48" i="3"/>
  <c r="D54" i="3"/>
  <c r="D11" i="3"/>
  <c r="D33" i="3"/>
  <c r="D27" i="3"/>
  <c r="D5" i="3"/>
  <c r="D68" i="3"/>
  <c r="D14" i="3"/>
  <c r="D64" i="3"/>
  <c r="D26" i="3"/>
  <c r="D66" i="3"/>
  <c r="D24" i="3"/>
  <c r="D18" i="3"/>
  <c r="D41" i="3"/>
  <c r="I41" i="3" s="1"/>
  <c r="D53" i="3"/>
  <c r="D86" i="3"/>
  <c r="D16" i="3"/>
  <c r="D6" i="3"/>
  <c r="D46" i="3"/>
  <c r="D34" i="3"/>
  <c r="D61" i="3"/>
  <c r="D70" i="3"/>
  <c r="D76" i="3"/>
  <c r="D23" i="3"/>
  <c r="D74" i="3"/>
  <c r="D38" i="3"/>
  <c r="D9" i="3"/>
  <c r="D79" i="3"/>
  <c r="D56" i="3"/>
  <c r="D83" i="3"/>
  <c r="D15" i="3"/>
  <c r="D21" i="3"/>
  <c r="D47" i="3"/>
  <c r="D45" i="3"/>
  <c r="D43" i="3"/>
  <c r="D13" i="3"/>
  <c r="D17" i="3"/>
  <c r="D62" i="3"/>
  <c r="D50" i="3"/>
  <c r="D75" i="3"/>
  <c r="D59" i="3"/>
  <c r="D60" i="3"/>
  <c r="D52" i="3"/>
  <c r="D65" i="3"/>
  <c r="D28" i="3"/>
  <c r="D78" i="3"/>
  <c r="D29" i="3"/>
  <c r="D69" i="3"/>
  <c r="D71" i="3"/>
  <c r="D49" i="3"/>
  <c r="D40" i="3"/>
  <c r="D67" i="3"/>
  <c r="D44" i="3"/>
  <c r="D31" i="3"/>
  <c r="D10" i="3"/>
  <c r="D58" i="3"/>
  <c r="D8" i="3"/>
  <c r="D32" i="3"/>
  <c r="D81" i="3"/>
  <c r="D72" i="3"/>
  <c r="D87" i="3"/>
  <c r="D39" i="3"/>
  <c r="D42" i="3"/>
  <c r="D84" i="3"/>
  <c r="D36" i="3"/>
  <c r="D57" i="3"/>
  <c r="D30" i="3"/>
  <c r="D20" i="3"/>
  <c r="D22" i="3"/>
  <c r="D35" i="3"/>
  <c r="D80" i="3"/>
  <c r="D77" i="3"/>
  <c r="I77" i="3" s="1"/>
  <c r="D82" i="3"/>
  <c r="D73" i="3"/>
  <c r="D55" i="3"/>
  <c r="D51" i="3"/>
  <c r="O35" i="3" l="1"/>
  <c r="O75" i="3"/>
  <c r="O81" i="3"/>
  <c r="I43" i="3"/>
  <c r="O83" i="3"/>
  <c r="I10" i="3"/>
  <c r="O40" i="3"/>
  <c r="O21" i="3"/>
  <c r="O55" i="3"/>
  <c r="O33" i="3"/>
  <c r="O54" i="3"/>
  <c r="O27" i="3"/>
  <c r="O57" i="3"/>
  <c r="O49" i="3"/>
  <c r="O36" i="3"/>
  <c r="O48" i="3"/>
  <c r="O67" i="3"/>
  <c r="O41" i="3"/>
  <c r="O39" i="3"/>
  <c r="O17" i="3"/>
  <c r="O5" i="3"/>
  <c r="O34" i="3"/>
  <c r="O80" i="3"/>
  <c r="O31" i="3"/>
  <c r="O30" i="3"/>
  <c r="O71" i="3"/>
  <c r="O68" i="3"/>
  <c r="O14" i="3"/>
  <c r="O62" i="3"/>
  <c r="O29" i="3"/>
  <c r="O73" i="3"/>
  <c r="O8" i="3"/>
  <c r="O24" i="3"/>
  <c r="O60" i="3"/>
  <c r="O52" i="3"/>
  <c r="O6" i="3"/>
  <c r="O53" i="3"/>
  <c r="O20" i="3"/>
  <c r="O32" i="3"/>
  <c r="O63" i="3"/>
  <c r="O26" i="3"/>
  <c r="O18" i="3"/>
  <c r="O43" i="3"/>
  <c r="O28" i="3"/>
  <c r="O45" i="3"/>
  <c r="O70" i="3"/>
  <c r="O58" i="3"/>
  <c r="O69" i="3"/>
  <c r="O82" i="3"/>
  <c r="O74" i="3"/>
  <c r="O10" i="3"/>
  <c r="O87" i="3"/>
  <c r="O38" i="3"/>
  <c r="O19" i="3"/>
  <c r="O37" i="3"/>
  <c r="O79" i="3"/>
  <c r="O50" i="3"/>
  <c r="O11" i="3"/>
  <c r="O66" i="3"/>
  <c r="O85" i="3"/>
  <c r="O72" i="3"/>
  <c r="O46" i="3"/>
  <c r="O12" i="3"/>
  <c r="O51" i="3"/>
  <c r="O65" i="3"/>
  <c r="O13" i="3"/>
  <c r="O64" i="3"/>
  <c r="O44" i="3"/>
  <c r="O47" i="3"/>
  <c r="O16" i="3"/>
  <c r="O25" i="3"/>
  <c r="O7" i="3"/>
  <c r="O15" i="3"/>
  <c r="O22" i="3"/>
  <c r="O84" i="3"/>
  <c r="O76" i="3"/>
  <c r="O42" i="3"/>
  <c r="O23" i="3"/>
  <c r="O77" i="3"/>
  <c r="I32" i="3"/>
  <c r="I6" i="3"/>
  <c r="I33" i="3"/>
  <c r="I58" i="3"/>
  <c r="I36" i="3"/>
  <c r="I22" i="3"/>
  <c r="I5" i="3"/>
  <c r="I18" i="3"/>
  <c r="I24" i="3"/>
  <c r="I35" i="3"/>
  <c r="I84" i="3"/>
  <c r="I86" i="3"/>
  <c r="I59" i="3"/>
  <c r="I30" i="3"/>
  <c r="I26" i="3"/>
  <c r="I20" i="3"/>
  <c r="I37" i="3"/>
  <c r="I53" i="3"/>
  <c r="I51" i="3"/>
  <c r="I74" i="3"/>
  <c r="I48" i="3"/>
  <c r="I81" i="3"/>
  <c r="I66" i="3"/>
  <c r="I46" i="3"/>
  <c r="I16" i="3"/>
  <c r="I27" i="3"/>
  <c r="I57" i="3"/>
  <c r="I69" i="3"/>
  <c r="I76" i="3"/>
  <c r="I12" i="3"/>
  <c r="I50" i="3"/>
  <c r="I25" i="3"/>
  <c r="I11" i="3"/>
  <c r="I61" i="3"/>
  <c r="I64" i="3"/>
  <c r="I63" i="3"/>
  <c r="I17" i="3"/>
  <c r="I23" i="3"/>
  <c r="I80" i="3"/>
  <c r="I29" i="3"/>
  <c r="I45" i="3"/>
  <c r="I70" i="3"/>
  <c r="I34" i="3"/>
  <c r="I52" i="3"/>
  <c r="I85" i="3"/>
  <c r="I68" i="3"/>
  <c r="I67" i="3"/>
  <c r="I75" i="3"/>
  <c r="I62" i="3"/>
  <c r="I54" i="3"/>
  <c r="I7" i="3"/>
  <c r="I73" i="3"/>
  <c r="I38" i="3"/>
  <c r="I82" i="3"/>
  <c r="I87" i="3"/>
  <c r="I47" i="3"/>
  <c r="I65" i="3"/>
  <c r="I78" i="3"/>
  <c r="I8" i="3"/>
  <c r="I28" i="3"/>
  <c r="I31" i="3"/>
  <c r="I21" i="3"/>
  <c r="I83" i="3"/>
  <c r="I56" i="3"/>
  <c r="I60" i="3"/>
  <c r="I15" i="3"/>
  <c r="I71" i="3"/>
  <c r="I13" i="3"/>
  <c r="I44" i="3"/>
  <c r="I55" i="3"/>
  <c r="I42" i="3"/>
  <c r="I39" i="3"/>
  <c r="I49" i="3"/>
  <c r="I79" i="3"/>
  <c r="I14" i="3"/>
  <c r="I19" i="3"/>
  <c r="I72" i="3"/>
  <c r="I40" i="3"/>
  <c r="I9" i="3"/>
  <c r="J85" i="3" l="1"/>
  <c r="J13" i="3"/>
  <c r="J9" i="3"/>
  <c r="J65" i="3"/>
  <c r="J11" i="3"/>
  <c r="J47" i="3"/>
  <c r="J25" i="3"/>
  <c r="J87" i="3"/>
  <c r="J51" i="3"/>
  <c r="J70" i="3"/>
  <c r="J80" i="3"/>
  <c r="J27" i="3"/>
  <c r="J30" i="3"/>
  <c r="J49" i="3"/>
  <c r="J59" i="3"/>
  <c r="J40" i="3"/>
  <c r="J74" i="3"/>
  <c r="J50" i="3"/>
  <c r="J82" i="3"/>
  <c r="J7" i="3"/>
  <c r="J26" i="3"/>
  <c r="J31" i="3"/>
  <c r="J23" i="3"/>
  <c r="J77" i="3"/>
  <c r="J39" i="3"/>
  <c r="J10" i="3"/>
  <c r="J62" i="3"/>
  <c r="J17" i="3"/>
  <c r="J16" i="3"/>
  <c r="J41" i="3"/>
  <c r="J42" i="3"/>
  <c r="J28" i="3"/>
  <c r="J75" i="3"/>
  <c r="J63" i="3"/>
  <c r="J46" i="3"/>
  <c r="J86" i="3"/>
  <c r="J84" i="3"/>
  <c r="J71" i="3"/>
  <c r="J72" i="3"/>
  <c r="J34" i="3"/>
  <c r="J60" i="3"/>
  <c r="J21" i="3"/>
  <c r="J57" i="3"/>
  <c r="J32" i="3"/>
  <c r="J54" i="3"/>
  <c r="J6" i="3"/>
  <c r="J55" i="3"/>
  <c r="J8" i="3"/>
  <c r="J67" i="3"/>
  <c r="J64" i="3"/>
  <c r="J66" i="3"/>
  <c r="J43" i="3"/>
  <c r="J44" i="3"/>
  <c r="J78" i="3"/>
  <c r="J68" i="3"/>
  <c r="J61" i="3"/>
  <c r="J81" i="3"/>
  <c r="J35" i="3"/>
  <c r="J24" i="3"/>
  <c r="J18" i="3"/>
  <c r="J5" i="3"/>
  <c r="J22" i="3"/>
  <c r="J36" i="3"/>
  <c r="J48" i="3"/>
  <c r="J52" i="3"/>
  <c r="J15" i="3"/>
  <c r="J19" i="3"/>
  <c r="J12" i="3"/>
  <c r="J53" i="3"/>
  <c r="J14" i="3"/>
  <c r="J56" i="3"/>
  <c r="J38" i="3"/>
  <c r="J45" i="3"/>
  <c r="J76" i="3"/>
  <c r="J37" i="3"/>
  <c r="J79" i="3"/>
  <c r="J83" i="3"/>
  <c r="J73" i="3"/>
  <c r="J29" i="3"/>
  <c r="J69" i="3"/>
  <c r="J20" i="3"/>
  <c r="J58" i="3"/>
  <c r="J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10BC3-ACF7-4F51-95F7-04410094939D}" keepAlive="1" name="Consulta - RAIS Estabelecimentos - Bahia 2023-2025" description="Conexão com a consulta 'RAIS Estabelecimentos - Bahia 2023-2025' na pasta de trabalho." type="5" refreshedVersion="8" background="1" saveData="1">
    <dbPr connection="Provider=Microsoft.Mashup.OleDb.1;Data Source=$Workbook$;Location=&quot;RAIS Estabelecimentos - Bahia 2023-2025&quot;;Extended Properties=&quot;&quot;" command="SELECT * FROM [RAIS Estabelecimentos - Bahia 2023-2025]"/>
  </connection>
  <connection id="2" xr16:uid="{28134BB7-EEF7-4EE3-BAF5-9427FEE4A988}" keepAlive="1" name="Consulta - RAIS Vínculos - Bahia 2023-2025" description="Conexão com a consulta 'RAIS Vínculos - Bahia 2023-2025' na pasta de trabalho." type="5" refreshedVersion="8" background="1" saveData="1">
    <dbPr connection="Provider=Microsoft.Mashup.OleDb.1;Data Source=$Workbook$;Location=&quot;RAIS Vínculos - Bahia 2023-2025&quot;;Extended Properties=&quot;&quot;" command="SELECT * FROM [RAIS Vínculos - Bahia 2023-20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<sst xmlns="http://schemas.openxmlformats.org/spreadsheetml/2006/main" count="2925" uniqueCount="1020">
  <si>
    <t>Metodologia de Priorização de Setores — Configuração de Indicadores</t>
  </si>
  <si>
    <t>ID</t>
  </si>
  <si>
    <t>Eixo</t>
  </si>
  <si>
    <t>Nome do Indicador</t>
  </si>
  <si>
    <t>Fonte</t>
  </si>
  <si>
    <t>Direção</t>
  </si>
  <si>
    <t>Tipo</t>
  </si>
  <si>
    <t>Peso</t>
  </si>
  <si>
    <t>Ativo (S/N)</t>
  </si>
  <si>
    <t>Observações</t>
  </si>
  <si>
    <t>IND01</t>
  </si>
  <si>
    <t>Econômico</t>
  </si>
  <si>
    <t>Emprego formal por CNAE na Bahia</t>
  </si>
  <si>
    <t>Novo CAGED / RAIS</t>
  </si>
  <si>
    <t>Maior = maior prioridade</t>
  </si>
  <si>
    <t>Contínuo</t>
  </si>
  <si>
    <t>S</t>
  </si>
  <si>
    <t>IND02</t>
  </si>
  <si>
    <t>Número de estabelecimentos</t>
  </si>
  <si>
    <t>IND03</t>
  </si>
  <si>
    <t>Complexidade Econômica do setor (ICE)</t>
  </si>
  <si>
    <t>ICE / CEDEPLAR</t>
  </si>
  <si>
    <t>AMB01</t>
  </si>
  <si>
    <t>Ambiental</t>
  </si>
  <si>
    <t>Setor consta na Taxonomia Sustentável Brasileira (TSB)?</t>
  </si>
  <si>
    <t>TSB / Ministério da Fazenda</t>
  </si>
  <si>
    <t>Binário (0/1)</t>
  </si>
  <si>
    <t>0 = Não, 1 = Sim. Já normalizado por natureza, sem min-max</t>
  </si>
  <si>
    <t>GST01</t>
  </si>
  <si>
    <t>Gestão</t>
  </si>
  <si>
    <t>Setor é prioritário na Nova Indústria Brasil (NIB)?</t>
  </si>
  <si>
    <t>NIB / MDIC</t>
  </si>
  <si>
    <t>GST02</t>
  </si>
  <si>
    <t>Dependência externa (% valor de fornecedores de fora da BA / valor total do setor)</t>
  </si>
  <si>
    <t>SIMPAS (UF do fornecedor)</t>
  </si>
  <si>
    <t>Versão adaptada do antigo indicador de dependência externa, agora no Eixo Gestão</t>
  </si>
  <si>
    <t>Soma dos pesos ativos (denominador da fórmula de score):</t>
  </si>
  <si>
    <t>Nota: o Eixo Social (ex.: % de fornecedores ME/EPP) foi removido temporariamente desta versão da metodologia. Para reincorporá-lo, adicione uma linha SOC0x nesta tabela e a coluna correspondente nas abas Dados_Brutos e Score_Priorizacao.</t>
  </si>
  <si>
    <t>Dados por Setor (CNAE) - BAHIA</t>
  </si>
  <si>
    <t>CNAE</t>
  </si>
  <si>
    <t>Setor</t>
  </si>
  <si>
    <t>IND01
Emprego</t>
  </si>
  <si>
    <t>IND02
Número de estabelecimentos (un.)</t>
  </si>
  <si>
    <t>IND03
Complexidade Econômica</t>
  </si>
  <si>
    <t>AMB01
TSB (0/1)</t>
  </si>
  <si>
    <t>GST01
NIB (0/1)</t>
  </si>
  <si>
    <t>GST02
Dependência (%)</t>
  </si>
  <si>
    <t>014</t>
  </si>
  <si>
    <t>Produção de sementes e mudas certificadas</t>
  </si>
  <si>
    <t>015</t>
  </si>
  <si>
    <t>Pecuária</t>
  </si>
  <si>
    <t>089</t>
  </si>
  <si>
    <t>Extração de outros minerais não-metálicos</t>
  </si>
  <si>
    <t>101</t>
  </si>
  <si>
    <t>Abate e fabricação de produtos de carne</t>
  </si>
  <si>
    <t>103</t>
  </si>
  <si>
    <t>Fabricação de conservas de frutas, legumes e outros vegetais</t>
  </si>
  <si>
    <t>104</t>
  </si>
  <si>
    <t>Fabricação de óleos e gorduras vegetais e animais</t>
  </si>
  <si>
    <t>105</t>
  </si>
  <si>
    <t>Laticínios</t>
  </si>
  <si>
    <t>106</t>
  </si>
  <si>
    <t>Moagem, fabricação de produtos amiláceos e de alimentos para animais</t>
  </si>
  <si>
    <t>107</t>
  </si>
  <si>
    <t>Fabricação e refino de açúcar</t>
  </si>
  <si>
    <t>109</t>
  </si>
  <si>
    <t>Fabricação de outros produtos alimentícios</t>
  </si>
  <si>
    <t>111</t>
  </si>
  <si>
    <t>Fabricação de bebidas alcoólicas</t>
  </si>
  <si>
    <t>112</t>
  </si>
  <si>
    <t>Fabricação de bebidas não-alcoólicas</t>
  </si>
  <si>
    <t>131</t>
  </si>
  <si>
    <t>Preparação e fiação de fibras têxteis</t>
  </si>
  <si>
    <t>132</t>
  </si>
  <si>
    <t>Tecelagem, exceto malha</t>
  </si>
  <si>
    <t>135</t>
  </si>
  <si>
    <t>Fabricação de artefatos têxteis, exceto vestuário</t>
  </si>
  <si>
    <t>141</t>
  </si>
  <si>
    <t>Confecção de artigos do vestuário e acessórios</t>
  </si>
  <si>
    <t>142</t>
  </si>
  <si>
    <t>Fabricação de artigos de malharia e tricotagem</t>
  </si>
  <si>
    <t>152</t>
  </si>
  <si>
    <t>Fabricação de artigos para viagem e de artefatos diversos de couro</t>
  </si>
  <si>
    <t>153</t>
  </si>
  <si>
    <t>Fabricação de calçados</t>
  </si>
  <si>
    <t>161</t>
  </si>
  <si>
    <t>Desdobramento de madeira</t>
  </si>
  <si>
    <t>162</t>
  </si>
  <si>
    <t>Fabricação de produtos de madeira, cortiça e material trançado, exceto móveis</t>
  </si>
  <si>
    <t>172</t>
  </si>
  <si>
    <t>Fabricação de papel, cartolina e papel-cartão</t>
  </si>
  <si>
    <t>173</t>
  </si>
  <si>
    <t>Fabricação de embalagens de papel, cartolina, papel-cartão e papelão ondulado</t>
  </si>
  <si>
    <t>174</t>
  </si>
  <si>
    <t>Fabricação de produtos diversos de papel, cartolina, papel-cartão e papelão ondulado</t>
  </si>
  <si>
    <t>181</t>
  </si>
  <si>
    <t>Atividade de impressão</t>
  </si>
  <si>
    <t>183</t>
  </si>
  <si>
    <t>Reprodução de materiais gravados em qualquer suporte</t>
  </si>
  <si>
    <t>192</t>
  </si>
  <si>
    <t>Fabricação de produtos derivados do petróleo</t>
  </si>
  <si>
    <t>201</t>
  </si>
  <si>
    <t>Fabricação de produtos químicos inorgânicos</t>
  </si>
  <si>
    <t>205</t>
  </si>
  <si>
    <t>Fabricação de defensivos agrícolas e desinfestantes domissanitários</t>
  </si>
  <si>
    <t>206</t>
  </si>
  <si>
    <t>Fabricação de sabões, detergentes, produtos de limpeza, cosméticos, produtos de perfumaria e de higiene pessoal</t>
  </si>
  <si>
    <t>207</t>
  </si>
  <si>
    <t>Fabricação de tintas, vernizes, esmaltes, lacas e produtos afins</t>
  </si>
  <si>
    <t>209</t>
  </si>
  <si>
    <t>Fabricação de produtos e preparados químicos diversos</t>
  </si>
  <si>
    <t>211</t>
  </si>
  <si>
    <t>Fabricação de produtos farmoquímicos</t>
  </si>
  <si>
    <t>212</t>
  </si>
  <si>
    <t>Fabricação de produtos farmacêuticos</t>
  </si>
  <si>
    <t>221</t>
  </si>
  <si>
    <t>Fabricação de produtos de borracha</t>
  </si>
  <si>
    <t>222</t>
  </si>
  <si>
    <t>Fabricação de produtos de material plástico</t>
  </si>
  <si>
    <t>231</t>
  </si>
  <si>
    <t>Fabricação de vidro e de produtos do vidro</t>
  </si>
  <si>
    <t>232</t>
  </si>
  <si>
    <t>Fabricação de cimento</t>
  </si>
  <si>
    <t>233</t>
  </si>
  <si>
    <t>Fabricação de artefatos de concreto, cimento, fibrocimento, gesso e materiais semelhantes</t>
  </si>
  <si>
    <t>234</t>
  </si>
  <si>
    <t>Fabricação de produtos cerâmicos</t>
  </si>
  <si>
    <t>239</t>
  </si>
  <si>
    <t>Aparelhamento de pedras e fabricação de outros produtos de minerais não-metálicos</t>
  </si>
  <si>
    <t>242</t>
  </si>
  <si>
    <t>Siderurgia</t>
  </si>
  <si>
    <t>244</t>
  </si>
  <si>
    <t>Metalurgia dos metais não-ferrosos</t>
  </si>
  <si>
    <t>251</t>
  </si>
  <si>
    <t>Fabricação de estruturas metálicas e obras de caldeiraria pesada</t>
  </si>
  <si>
    <t>252</t>
  </si>
  <si>
    <t>Fabricação de tanques, reservatórios metálicos e caldeiras</t>
  </si>
  <si>
    <t>254</t>
  </si>
  <si>
    <t>Fabricação de artigos de cutelaria, de serralheria e ferramentas</t>
  </si>
  <si>
    <t>255</t>
  </si>
  <si>
    <t>Fabricação de equipamento bélico pesado, armas de fogo e munições</t>
  </si>
  <si>
    <t>259</t>
  </si>
  <si>
    <t>Fabricação de produtos de metal não especificados anteriormente</t>
  </si>
  <si>
    <t>261</t>
  </si>
  <si>
    <t>Fabricação de componentes eletrônicos</t>
  </si>
  <si>
    <t>262</t>
  </si>
  <si>
    <t>Fabricação de equipamentos de informática e periféricos</t>
  </si>
  <si>
    <t>263</t>
  </si>
  <si>
    <t>Fabricação de equipamentos de comunicação</t>
  </si>
  <si>
    <t>264</t>
  </si>
  <si>
    <t>Fabricação de aparelhos de recepção, reprodução, gravação e amplificação de áudio e vídeo</t>
  </si>
  <si>
    <t>265</t>
  </si>
  <si>
    <t>Fabricação de aparelhos e instrumentos de medida, teste e controle; cronômetros e relógios</t>
  </si>
  <si>
    <t>266</t>
  </si>
  <si>
    <t>Fabricação de aparelhos eletromédicos e eletroterapêuticos e equipamentos de irradiação</t>
  </si>
  <si>
    <t>267</t>
  </si>
  <si>
    <t>Fabricação de equipamentos e instrumentos ópticos, fotográficos e cinematográficos</t>
  </si>
  <si>
    <t>268</t>
  </si>
  <si>
    <t>Fabricação de mídias virgens, magnéticas e ópticas</t>
  </si>
  <si>
    <t>271</t>
  </si>
  <si>
    <t>Fabricação de geradores, transformadores e motores elétricos</t>
  </si>
  <si>
    <t>272</t>
  </si>
  <si>
    <t>Fabricação de pilhas, baterias e acumuladores elétricos</t>
  </si>
  <si>
    <t>273</t>
  </si>
  <si>
    <t>Fabricação de equipamentos para distribuição e controle de energia elétrica</t>
  </si>
  <si>
    <t>274</t>
  </si>
  <si>
    <t>Fabricação de lâmpadas e outros equipamentos de iluminação</t>
  </si>
  <si>
    <t>275</t>
  </si>
  <si>
    <t>Fabricação de eletrodomésticos</t>
  </si>
  <si>
    <t>279</t>
  </si>
  <si>
    <t>Fabricação de equipamentos e aparelhos elétricos não especificados anteriormente</t>
  </si>
  <si>
    <t>281</t>
  </si>
  <si>
    <t>Fabricação de motores, bombas, compressores e equipamentos de transmissão</t>
  </si>
  <si>
    <t>282</t>
  </si>
  <si>
    <t>Fabricação de máquinas e equipamentos de uso geral</t>
  </si>
  <si>
    <t>283</t>
  </si>
  <si>
    <t>Fabricação de tratores e de máquinas e equipamentos para a agricultura e pecuária</t>
  </si>
  <si>
    <t>284</t>
  </si>
  <si>
    <t>Fabricação de máquinas-ferramenta</t>
  </si>
  <si>
    <t>285</t>
  </si>
  <si>
    <t>Fabricação de máquinas e equipamentos de uso na extração mineral e na construção</t>
  </si>
  <si>
    <t>286</t>
  </si>
  <si>
    <t>Fabricação de máquinas e equipamentos de uso industrial específico</t>
  </si>
  <si>
    <t>291</t>
  </si>
  <si>
    <t>Fabricação de automóveis, camionetas e utilitários</t>
  </si>
  <si>
    <t>292</t>
  </si>
  <si>
    <t>Fabricação de caminhões e ônibus</t>
  </si>
  <si>
    <t>293</t>
  </si>
  <si>
    <t>Fabricação de cabines, carrocerias e reboques para veículos automotores</t>
  </si>
  <si>
    <t>294</t>
  </si>
  <si>
    <t>Fabricação de peças e acessórios para veículos automotores</t>
  </si>
  <si>
    <t>301</t>
  </si>
  <si>
    <t>Construção de embarcações</t>
  </si>
  <si>
    <t>304</t>
  </si>
  <si>
    <t>Fabricação de aeronaves</t>
  </si>
  <si>
    <t>309</t>
  </si>
  <si>
    <t>Fabricação de equipamentos de transporte não especificados anteriormente</t>
  </si>
  <si>
    <t>310</t>
  </si>
  <si>
    <t>Fabricação de móveis</t>
  </si>
  <si>
    <t>322</t>
  </si>
  <si>
    <t>Fabricação de instrumentos musicais</t>
  </si>
  <si>
    <t>323</t>
  </si>
  <si>
    <t>Fabricação de artefatos para pesca e esporte</t>
  </si>
  <si>
    <t>324</t>
  </si>
  <si>
    <t>Fabricação de brinquedos e jogos recreativos</t>
  </si>
  <si>
    <t>325</t>
  </si>
  <si>
    <t>Fabricação de instrumentos e materiais para uso médico e odontológico e de artigos ópticos</t>
  </si>
  <si>
    <t>329</t>
  </si>
  <si>
    <t>Fabricação de produtos diversos</t>
  </si>
  <si>
    <t>581</t>
  </si>
  <si>
    <t>Edição de livros, jornais, revistas e outras atividades de edição</t>
  </si>
  <si>
    <t>620</t>
  </si>
  <si>
    <t>Atividades dos serviços de tecnologia da informação</t>
  </si>
  <si>
    <t>Score de Priorização por Setor</t>
  </si>
  <si>
    <t>IND01
(norm.)</t>
  </si>
  <si>
    <t>IND02
(norm.)</t>
  </si>
  <si>
    <t>IND03
(norm.)</t>
  </si>
  <si>
    <t>AMB01
(norm.)</t>
  </si>
  <si>
    <t>GST01
(norm.)</t>
  </si>
  <si>
    <t>GST02
(norm.)</t>
  </si>
  <si>
    <t>Score Final</t>
  </si>
  <si>
    <t>Ranking</t>
  </si>
  <si>
    <t>Tx Variação</t>
  </si>
  <si>
    <t>Volume compra 2025</t>
  </si>
  <si>
    <t>Class Tx</t>
  </si>
  <si>
    <t>Class Volume</t>
  </si>
  <si>
    <t>Classificação geral</t>
  </si>
  <si>
    <t>CNAE_GRUPO</t>
  </si>
  <si>
    <t>DESCRICAO_CNAE_GRUPO</t>
  </si>
  <si>
    <t>VALOR_TOTAL</t>
  </si>
  <si>
    <t>PART(%)</t>
  </si>
  <si>
    <t>VARIACAO_ABS</t>
  </si>
  <si>
    <t>VARIACAO(%)</t>
  </si>
  <si>
    <t>DEP_EXTERNA(%)</t>
  </si>
  <si>
    <t>ANO</t>
  </si>
  <si>
    <t>2025</t>
  </si>
  <si>
    <t>2023</t>
  </si>
  <si>
    <t>PART_2023(%)</t>
  </si>
  <si>
    <t>PART_2025(%)</t>
  </si>
  <si>
    <t>Demais itens</t>
  </si>
  <si>
    <t>27.5</t>
  </si>
  <si>
    <t>Eletrodomésticos</t>
  </si>
  <si>
    <t>14.1</t>
  </si>
  <si>
    <t>Artigos do vestuário e acessórios</t>
  </si>
  <si>
    <t>21.1</t>
  </si>
  <si>
    <t>Produtos farmoquímicos</t>
  </si>
  <si>
    <t>29.2</t>
  </si>
  <si>
    <t>Caminhões e ônibus</t>
  </si>
  <si>
    <t>30.4</t>
  </si>
  <si>
    <t>Aeronaves</t>
  </si>
  <si>
    <t>28.3</t>
  </si>
  <si>
    <t>Tratores e de máquinas e equipamentos para a agricultura e pecuária</t>
  </si>
  <si>
    <t>26.2</t>
  </si>
  <si>
    <t>Equipamentos de informática e periféricos</t>
  </si>
  <si>
    <t>32.5</t>
  </si>
  <si>
    <t>Instrumentos e materiais para uso médico e odontológico</t>
  </si>
  <si>
    <t>29.1</t>
  </si>
  <si>
    <t>Automóveis, camionetas e utilitários</t>
  </si>
  <si>
    <t>21.2</t>
  </si>
  <si>
    <t>Produtos farmacêuticos</t>
  </si>
  <si>
    <t>TOTAL</t>
  </si>
  <si>
    <t>26.5</t>
  </si>
  <si>
    <t>Aparelhos e instrumentos de medida, teste e controle; cronômetros e relógios</t>
  </si>
  <si>
    <t>31.0</t>
  </si>
  <si>
    <t>Móveis</t>
  </si>
  <si>
    <t>Instrumentos e materiais para uso médico e odontológico e de artigos ópticos</t>
  </si>
  <si>
    <t>Externo</t>
  </si>
  <si>
    <t>Local</t>
  </si>
  <si>
    <t>Cod.</t>
  </si>
  <si>
    <t>CNAE 2.0 Grupo - BAHIA</t>
  </si>
  <si>
    <t>2024</t>
  </si>
  <si>
    <t>2.023</t>
  </si>
  <si>
    <t>Total</t>
  </si>
  <si>
    <t>060</t>
  </si>
  <si>
    <t>Extração de petróleo e gás natural</t>
  </si>
  <si>
    <t>3.209</t>
  </si>
  <si>
    <t>3.028</t>
  </si>
  <si>
    <t>8.763</t>
  </si>
  <si>
    <t>071</t>
  </si>
  <si>
    <t>Extração de minério de ferro</t>
  </si>
  <si>
    <t>288</t>
  </si>
  <si>
    <t>316</t>
  </si>
  <si>
    <t>978</t>
  </si>
  <si>
    <t>072</t>
  </si>
  <si>
    <t>Extração de minerais metálicos não-ferrosos</t>
  </si>
  <si>
    <t>8.106</t>
  </si>
  <si>
    <t>7.989</t>
  </si>
  <si>
    <t>24.082</t>
  </si>
  <si>
    <t>081</t>
  </si>
  <si>
    <t>Extração de pedra, areia e argila</t>
  </si>
  <si>
    <t>4.843</t>
  </si>
  <si>
    <t>4.621</t>
  </si>
  <si>
    <t>13.630</t>
  </si>
  <si>
    <t>2.526</t>
  </si>
  <si>
    <t>2.331</t>
  </si>
  <si>
    <t>7.006</t>
  </si>
  <si>
    <t>091</t>
  </si>
  <si>
    <t>Atividades de apoio à extração de petróleo e gás natural</t>
  </si>
  <si>
    <t>2.480</t>
  </si>
  <si>
    <t>2.669</t>
  </si>
  <si>
    <t>7.935</t>
  </si>
  <si>
    <t>099</t>
  </si>
  <si>
    <t>Atividades de apoio à extração de minerais, exceto petróleo e gás natural</t>
  </si>
  <si>
    <t>257</t>
  </si>
  <si>
    <t>954</t>
  </si>
  <si>
    <t>13.690</t>
  </si>
  <si>
    <t>12.594</t>
  </si>
  <si>
    <t>37.562</t>
  </si>
  <si>
    <t>102</t>
  </si>
  <si>
    <t>Preservação do pescado e fabricação de produtos do pescado</t>
  </si>
  <si>
    <t>741</t>
  </si>
  <si>
    <t>727</t>
  </si>
  <si>
    <t>2.175</t>
  </si>
  <si>
    <t>3.227</t>
  </si>
  <si>
    <t>3.068</t>
  </si>
  <si>
    <t>9.204</t>
  </si>
  <si>
    <t>1.654</t>
  </si>
  <si>
    <t>1.636</t>
  </si>
  <si>
    <t>4.830</t>
  </si>
  <si>
    <t>5.773</t>
  </si>
  <si>
    <t>5.509</t>
  </si>
  <si>
    <t>16.458</t>
  </si>
  <si>
    <t>6.609</t>
  </si>
  <si>
    <t>6.074</t>
  </si>
  <si>
    <t>18.406</t>
  </si>
  <si>
    <t>3.002</t>
  </si>
  <si>
    <t>3.166</t>
  </si>
  <si>
    <t>9.269</t>
  </si>
  <si>
    <t>108</t>
  </si>
  <si>
    <t>Torrefação e moagem de café</t>
  </si>
  <si>
    <t>976</t>
  </si>
  <si>
    <t>2.924</t>
  </si>
  <si>
    <t>20.366</t>
  </si>
  <si>
    <t>18.959</t>
  </si>
  <si>
    <t>57.402</t>
  </si>
  <si>
    <t>2.967</t>
  </si>
  <si>
    <t>2.984</t>
  </si>
  <si>
    <t>8.679</t>
  </si>
  <si>
    <t>4.350</t>
  </si>
  <si>
    <t>4.151</t>
  </si>
  <si>
    <t>12.299</t>
  </si>
  <si>
    <t>121</t>
  </si>
  <si>
    <t>Processamento industrial do fumo</t>
  </si>
  <si>
    <t>671</t>
  </si>
  <si>
    <t>665</t>
  </si>
  <si>
    <t>2.218</t>
  </si>
  <si>
    <t>122</t>
  </si>
  <si>
    <t>Fabricação de produtos do fumo</t>
  </si>
  <si>
    <t>386</t>
  </si>
  <si>
    <t>379</t>
  </si>
  <si>
    <t>1.140</t>
  </si>
  <si>
    <t>2.566</t>
  </si>
  <si>
    <t>2.416</t>
  </si>
  <si>
    <t>7.041</t>
  </si>
  <si>
    <t>4.840</t>
  </si>
  <si>
    <t>4.976</t>
  </si>
  <si>
    <t>14.266</t>
  </si>
  <si>
    <t>133</t>
  </si>
  <si>
    <t>Fabricação de tecidos de malha</t>
  </si>
  <si>
    <t>857</t>
  </si>
  <si>
    <t>134</t>
  </si>
  <si>
    <t>Acabamentos em fios, tecidos e artefatos têxteis</t>
  </si>
  <si>
    <t>369</t>
  </si>
  <si>
    <t>424</t>
  </si>
  <si>
    <t>1.190</t>
  </si>
  <si>
    <t>3.117</t>
  </si>
  <si>
    <t>2.833</t>
  </si>
  <si>
    <t>8.500</t>
  </si>
  <si>
    <t>9.978</t>
  </si>
  <si>
    <t>9.603</t>
  </si>
  <si>
    <t>29.387</t>
  </si>
  <si>
    <t>2.697</t>
  </si>
  <si>
    <t>2.318</t>
  </si>
  <si>
    <t>7.376</t>
  </si>
  <si>
    <t>151</t>
  </si>
  <si>
    <t>Curtimento e outras preparações de couro</t>
  </si>
  <si>
    <t>823</t>
  </si>
  <si>
    <t>843</t>
  </si>
  <si>
    <t>2.447</t>
  </si>
  <si>
    <t>1.972</t>
  </si>
  <si>
    <t>2.116</t>
  </si>
  <si>
    <t>5.867</t>
  </si>
  <si>
    <t>41.722</t>
  </si>
  <si>
    <t>38.996</t>
  </si>
  <si>
    <t>120.825</t>
  </si>
  <si>
    <t>154</t>
  </si>
  <si>
    <t>Fabricação de partes para calçados, de qualquer material</t>
  </si>
  <si>
    <t>706</t>
  </si>
  <si>
    <t>600</t>
  </si>
  <si>
    <t>2.163</t>
  </si>
  <si>
    <t>541</t>
  </si>
  <si>
    <t>507</t>
  </si>
  <si>
    <t>1.471</t>
  </si>
  <si>
    <t>2.152</t>
  </si>
  <si>
    <t>6.386</t>
  </si>
  <si>
    <t>171</t>
  </si>
  <si>
    <t>Fabricação de celulose e outras pastas para a fabricação de papel</t>
  </si>
  <si>
    <t>3.712</t>
  </si>
  <si>
    <t>3.810</t>
  </si>
  <si>
    <t>11.259</t>
  </si>
  <si>
    <t>658</t>
  </si>
  <si>
    <t>648</t>
  </si>
  <si>
    <t>1.925</t>
  </si>
  <si>
    <t>2.346</t>
  </si>
  <si>
    <t>2.260</t>
  </si>
  <si>
    <t>6.751</t>
  </si>
  <si>
    <t>2.051</t>
  </si>
  <si>
    <t>2.060</t>
  </si>
  <si>
    <t>6.088</t>
  </si>
  <si>
    <t>2.861</t>
  </si>
  <si>
    <t>2.808</t>
  </si>
  <si>
    <t>8.142</t>
  </si>
  <si>
    <t>182</t>
  </si>
  <si>
    <t>Serviços de pré-impressão e acabamentos gráficos</t>
  </si>
  <si>
    <t>642</t>
  </si>
  <si>
    <t>623</t>
  </si>
  <si>
    <t>1.834</t>
  </si>
  <si>
    <t>8</t>
  </si>
  <si>
    <t>9</t>
  </si>
  <si>
    <t>26</t>
  </si>
  <si>
    <t>1.532</t>
  </si>
  <si>
    <t>1.551</t>
  </si>
  <si>
    <t>4.776</t>
  </si>
  <si>
    <t>193</t>
  </si>
  <si>
    <t>Fabricação de biocombustíveis</t>
  </si>
  <si>
    <t>3.385</t>
  </si>
  <si>
    <t>2.677</t>
  </si>
  <si>
    <t>8.664</t>
  </si>
  <si>
    <t>4.387</t>
  </si>
  <si>
    <t>3.997</t>
  </si>
  <si>
    <t>12.332</t>
  </si>
  <si>
    <t>202</t>
  </si>
  <si>
    <t>Fabricação de produtos químicos orgânicos</t>
  </si>
  <si>
    <t>2.571</t>
  </si>
  <si>
    <t>2.524</t>
  </si>
  <si>
    <t>7.681</t>
  </si>
  <si>
    <t>203</t>
  </si>
  <si>
    <t>Fabricação de resinas e elastômeros</t>
  </si>
  <si>
    <t>1.041</t>
  </si>
  <si>
    <t>1.023</t>
  </si>
  <si>
    <t>3.183</t>
  </si>
  <si>
    <t>204</t>
  </si>
  <si>
    <t>Fabricação de fibras artificiais e sintéticas</t>
  </si>
  <si>
    <t>522</t>
  </si>
  <si>
    <t>537</t>
  </si>
  <si>
    <t>1.534</t>
  </si>
  <si>
    <t>168</t>
  </si>
  <si>
    <t>167</t>
  </si>
  <si>
    <t>512</t>
  </si>
  <si>
    <t>5.819</t>
  </si>
  <si>
    <t>5.716</t>
  </si>
  <si>
    <t>17.133</t>
  </si>
  <si>
    <t>761</t>
  </si>
  <si>
    <t>767</t>
  </si>
  <si>
    <t>2.244</t>
  </si>
  <si>
    <t>1.112</t>
  </si>
  <si>
    <t>1.071</t>
  </si>
  <si>
    <t>3.238</t>
  </si>
  <si>
    <t>20</t>
  </si>
  <si>
    <t>19</t>
  </si>
  <si>
    <t>57</t>
  </si>
  <si>
    <t>1.231</t>
  </si>
  <si>
    <t>1.293</t>
  </si>
  <si>
    <t>3.588</t>
  </si>
  <si>
    <t>7.815</t>
  </si>
  <si>
    <t>7.670</t>
  </si>
  <si>
    <t>23.006</t>
  </si>
  <si>
    <t>12.653</t>
  </si>
  <si>
    <t>12.318</t>
  </si>
  <si>
    <t>36.339</t>
  </si>
  <si>
    <t>1.448</t>
  </si>
  <si>
    <t>1.427</t>
  </si>
  <si>
    <t>4.229</t>
  </si>
  <si>
    <t>938</t>
  </si>
  <si>
    <t>7.970</t>
  </si>
  <si>
    <t>7.804</t>
  </si>
  <si>
    <t>23.000</t>
  </si>
  <si>
    <t>6.951</t>
  </si>
  <si>
    <t>6.737</t>
  </si>
  <si>
    <t>20.474</t>
  </si>
  <si>
    <t>3.402</t>
  </si>
  <si>
    <t>3.233</t>
  </si>
  <si>
    <t>9.762</t>
  </si>
  <si>
    <t>241</t>
  </si>
  <si>
    <t>Produção de ferro-gusa e de ferroligas</t>
  </si>
  <si>
    <t>1.641</t>
  </si>
  <si>
    <t>1.593</t>
  </si>
  <si>
    <t>4.816</t>
  </si>
  <si>
    <t>559</t>
  </si>
  <si>
    <t>613</t>
  </si>
  <si>
    <t>1.704</t>
  </si>
  <si>
    <t>243</t>
  </si>
  <si>
    <t>Produção de tubos de aço, exceto tubos sem costura</t>
  </si>
  <si>
    <t>81</t>
  </si>
  <si>
    <t>516</t>
  </si>
  <si>
    <t>781</t>
  </si>
  <si>
    <t>2.154</t>
  </si>
  <si>
    <t>245</t>
  </si>
  <si>
    <t>Fundição</t>
  </si>
  <si>
    <t>99</t>
  </si>
  <si>
    <t>303</t>
  </si>
  <si>
    <t>5.547</t>
  </si>
  <si>
    <t>6.482</t>
  </si>
  <si>
    <t>18.125</t>
  </si>
  <si>
    <t>320</t>
  </si>
  <si>
    <t>319</t>
  </si>
  <si>
    <t>948</t>
  </si>
  <si>
    <t>253</t>
  </si>
  <si>
    <t>Forjaria, estamparia, metalurgia do pó e serviços de tratamento de metais</t>
  </si>
  <si>
    <t>1.908</t>
  </si>
  <si>
    <t>1.755</t>
  </si>
  <si>
    <t>5.354</t>
  </si>
  <si>
    <t>726</t>
  </si>
  <si>
    <t>760</t>
  </si>
  <si>
    <t>2.174</t>
  </si>
  <si>
    <t>3.505</t>
  </si>
  <si>
    <t>3.210</t>
  </si>
  <si>
    <t>9.768</t>
  </si>
  <si>
    <t>146</t>
  </si>
  <si>
    <t>128</t>
  </si>
  <si>
    <t>415</t>
  </si>
  <si>
    <t>920</t>
  </si>
  <si>
    <t>1.086</t>
  </si>
  <si>
    <t>3.062</t>
  </si>
  <si>
    <t>115</t>
  </si>
  <si>
    <t>356</t>
  </si>
  <si>
    <t>348</t>
  </si>
  <si>
    <t>460</t>
  </si>
  <si>
    <t>1.205</t>
  </si>
  <si>
    <t>Fabricação de Aparelhos e Instrumentos de Medida, Teste e Controle; cronômetros e relógios</t>
  </si>
  <si>
    <t>166</t>
  </si>
  <si>
    <t>159</t>
  </si>
  <si>
    <t>483</t>
  </si>
  <si>
    <t>24</t>
  </si>
  <si>
    <t>21</t>
  </si>
  <si>
    <t>64</t>
  </si>
  <si>
    <t>6</t>
  </si>
  <si>
    <t>17</t>
  </si>
  <si>
    <t>4</t>
  </si>
  <si>
    <t>5</t>
  </si>
  <si>
    <t>15</t>
  </si>
  <si>
    <t>585</t>
  </si>
  <si>
    <t>1.535</t>
  </si>
  <si>
    <t>7</t>
  </si>
  <si>
    <t>0</t>
  </si>
  <si>
    <t>493</t>
  </si>
  <si>
    <t>400</t>
  </si>
  <si>
    <t>1.245</t>
  </si>
  <si>
    <t>450</t>
  </si>
  <si>
    <t>481</t>
  </si>
  <si>
    <t>1.386</t>
  </si>
  <si>
    <t>5.869</t>
  </si>
  <si>
    <t>5.917</t>
  </si>
  <si>
    <t>16.313</t>
  </si>
  <si>
    <t>695</t>
  </si>
  <si>
    <t>610</t>
  </si>
  <si>
    <t>1.850</t>
  </si>
  <si>
    <t>812</t>
  </si>
  <si>
    <t>2.308</t>
  </si>
  <si>
    <t>491</t>
  </si>
  <si>
    <t>405</t>
  </si>
  <si>
    <t>1.323</t>
  </si>
  <si>
    <t>337</t>
  </si>
  <si>
    <t>298</t>
  </si>
  <si>
    <t>895</t>
  </si>
  <si>
    <t>127</t>
  </si>
  <si>
    <t>347</t>
  </si>
  <si>
    <t>619</t>
  </si>
  <si>
    <t>614</t>
  </si>
  <si>
    <t>1.799</t>
  </si>
  <si>
    <t>311</t>
  </si>
  <si>
    <t>941</t>
  </si>
  <si>
    <t>2.102</t>
  </si>
  <si>
    <t>2.363</t>
  </si>
  <si>
    <t>720</t>
  </si>
  <si>
    <t>728</t>
  </si>
  <si>
    <t>2.110</t>
  </si>
  <si>
    <t>737</t>
  </si>
  <si>
    <t>295</t>
  </si>
  <si>
    <t>Recondicionamento e recuperação de motores para veículos automotores</t>
  </si>
  <si>
    <t>489</t>
  </si>
  <si>
    <t>451</t>
  </si>
  <si>
    <t>1.377</t>
  </si>
  <si>
    <t>961</t>
  </si>
  <si>
    <t>1.494</t>
  </si>
  <si>
    <t>160</t>
  </si>
  <si>
    <t>148</t>
  </si>
  <si>
    <t>422</t>
  </si>
  <si>
    <t>8.956</t>
  </si>
  <si>
    <t>8.595</t>
  </si>
  <si>
    <t>25.511</t>
  </si>
  <si>
    <t>321</t>
  </si>
  <si>
    <t>Fabricação de artigos de joalheria, bijuteria e semelhantes</t>
  </si>
  <si>
    <t>299</t>
  </si>
  <si>
    <t>3</t>
  </si>
  <si>
    <t>70</t>
  </si>
  <si>
    <t>59</t>
  </si>
  <si>
    <t>50</t>
  </si>
  <si>
    <t>156</t>
  </si>
  <si>
    <t>1.193</t>
  </si>
  <si>
    <t>1.189</t>
  </si>
  <si>
    <t>3.492</t>
  </si>
  <si>
    <t>2.087</t>
  </si>
  <si>
    <t>2.021</t>
  </si>
  <si>
    <t>5.999</t>
  </si>
  <si>
    <t>331</t>
  </si>
  <si>
    <t>Manutenção e reparação de máquinas e equipamentos</t>
  </si>
  <si>
    <t>9.735</t>
  </si>
  <si>
    <t>9.349</t>
  </si>
  <si>
    <t>28.360</t>
  </si>
  <si>
    <t>332</t>
  </si>
  <si>
    <t>Instalação de máquinas e equipamentos</t>
  </si>
  <si>
    <t>2.472</t>
  </si>
  <si>
    <t>2.388</t>
  </si>
  <si>
    <t>6.933</t>
  </si>
  <si>
    <t>351</t>
  </si>
  <si>
    <t>Geração, transmissão e distribuição de energia elétrica</t>
  </si>
  <si>
    <t>7.770</t>
  </si>
  <si>
    <t>6.818</t>
  </si>
  <si>
    <t>21.401</t>
  </si>
  <si>
    <t>352</t>
  </si>
  <si>
    <t>Produção e distribuição de combustíveis gasosos por redes urbanas</t>
  </si>
  <si>
    <t>387</t>
  </si>
  <si>
    <t>353</t>
  </si>
  <si>
    <t>Produção e distribuição de vapor, água quente e ar condicionado</t>
  </si>
  <si>
    <t>68</t>
  </si>
  <si>
    <t>69</t>
  </si>
  <si>
    <t>360</t>
  </si>
  <si>
    <t>Captação, tratamento e distribuição de água</t>
  </si>
  <si>
    <t>8.297</t>
  </si>
  <si>
    <t>7.424</t>
  </si>
  <si>
    <t>23.203</t>
  </si>
  <si>
    <t>370</t>
  </si>
  <si>
    <t>Esgoto e atividades relacionadas</t>
  </si>
  <si>
    <t>699</t>
  </si>
  <si>
    <t>670</t>
  </si>
  <si>
    <t>2.010</t>
  </si>
  <si>
    <t>381</t>
  </si>
  <si>
    <t>Coleta de resíduos</t>
  </si>
  <si>
    <t>11.502</t>
  </si>
  <si>
    <t>11.104</t>
  </si>
  <si>
    <t>34.890</t>
  </si>
  <si>
    <t>382</t>
  </si>
  <si>
    <t>Tratamento e disposição de resíduos</t>
  </si>
  <si>
    <t>3.084</t>
  </si>
  <si>
    <t>2.456</t>
  </si>
  <si>
    <t>8.119</t>
  </si>
  <si>
    <t>383</t>
  </si>
  <si>
    <t>Recuperação de materiais</t>
  </si>
  <si>
    <t>1.387</t>
  </si>
  <si>
    <t>1.287</t>
  </si>
  <si>
    <t>3.899</t>
  </si>
  <si>
    <t>390</t>
  </si>
  <si>
    <t>Descontaminação e outros serviços de gestão de resíduos</t>
  </si>
  <si>
    <t>249</t>
  </si>
  <si>
    <t>774</t>
  </si>
  <si>
    <t>411</t>
  </si>
  <si>
    <t>Incorporação de empreendimentos imobiliários</t>
  </si>
  <si>
    <t>7.992</t>
  </si>
  <si>
    <t>7.293</t>
  </si>
  <si>
    <t>22.811</t>
  </si>
  <si>
    <t>412</t>
  </si>
  <si>
    <t>Construção de edifícios</t>
  </si>
  <si>
    <t>66.195</t>
  </si>
  <si>
    <t>61.660</t>
  </si>
  <si>
    <t>185.207</t>
  </si>
  <si>
    <t>421</t>
  </si>
  <si>
    <t>Construção de rodovias, ferrovias, obras urbanas e obras-de-arte especiais</t>
  </si>
  <si>
    <t>13.952</t>
  </si>
  <si>
    <t>14.171</t>
  </si>
  <si>
    <t>42.338</t>
  </si>
  <si>
    <t>Obras de infra-estrutura para energia elétrica, telecomunicações, água, esgoto e transporte por dutos</t>
  </si>
  <si>
    <t>23.079</t>
  </si>
  <si>
    <t>22.406</t>
  </si>
  <si>
    <t>71.015</t>
  </si>
  <si>
    <t>429</t>
  </si>
  <si>
    <t>Construção de outras obras de infra-estrutura</t>
  </si>
  <si>
    <t>17.682</t>
  </si>
  <si>
    <t>17.076</t>
  </si>
  <si>
    <t>52.744</t>
  </si>
  <si>
    <t>431</t>
  </si>
  <si>
    <t>Demolição e preparação do terreno</t>
  </si>
  <si>
    <t>6.837</t>
  </si>
  <si>
    <t>6.539</t>
  </si>
  <si>
    <t>20.741</t>
  </si>
  <si>
    <t>432</t>
  </si>
  <si>
    <t>Instalações elétricas, hidráulicas e outras instalações em construções</t>
  </si>
  <si>
    <t>16.842</t>
  </si>
  <si>
    <t>15.600</t>
  </si>
  <si>
    <t>47.167</t>
  </si>
  <si>
    <t>433</t>
  </si>
  <si>
    <t>Obras de acabamento</t>
  </si>
  <si>
    <t>5.329</t>
  </si>
  <si>
    <t>5.338</t>
  </si>
  <si>
    <t>16.165</t>
  </si>
  <si>
    <t>439</t>
  </si>
  <si>
    <t>Outros serviços especializados para construção</t>
  </si>
  <si>
    <t>12.069</t>
  </si>
  <si>
    <t>11.314</t>
  </si>
  <si>
    <t>36.607</t>
  </si>
  <si>
    <t/>
  </si>
  <si>
    <t>493.628</t>
  </si>
  <si>
    <t>469.070</t>
  </si>
  <si>
    <t>1.423.344</t>
  </si>
  <si>
    <t>Produção de Sementes e Mudas Certificadas</t>
  </si>
  <si>
    <t>Extração de Petróleo e Gás Natural</t>
  </si>
  <si>
    <t>62</t>
  </si>
  <si>
    <t>Extração de Minério de Ferro</t>
  </si>
  <si>
    <t>10</t>
  </si>
  <si>
    <t>30</t>
  </si>
  <si>
    <t>Extração de Minerais Metálicos Não-Ferrosos</t>
  </si>
  <si>
    <t>35</t>
  </si>
  <si>
    <t>32</t>
  </si>
  <si>
    <t>Extração de Pedra, Areia e Argila</t>
  </si>
  <si>
    <t>406</t>
  </si>
  <si>
    <t>384</t>
  </si>
  <si>
    <t>1.148</t>
  </si>
  <si>
    <t>Extração de Outros Minerais Não-Metálicos</t>
  </si>
  <si>
    <t>77</t>
  </si>
  <si>
    <t>72</t>
  </si>
  <si>
    <t>215</t>
  </si>
  <si>
    <t>Atividades de Apoio à Extração de Petróleo e Gás Natural</t>
  </si>
  <si>
    <t>36</t>
  </si>
  <si>
    <t>Atividades de Apoio à Extração de Minerais, Exceto Petróleo e Gás Natural</t>
  </si>
  <si>
    <t>Abate e Fabricação de Produtos de Carne</t>
  </si>
  <si>
    <t>140</t>
  </si>
  <si>
    <t>139</t>
  </si>
  <si>
    <t>Preservação do Pescado e Fabricação de Produtos do Pescado</t>
  </si>
  <si>
    <t>23</t>
  </si>
  <si>
    <t>Fabricação de Conservas de Frutas, Legumes e Outros Vegetais</t>
  </si>
  <si>
    <t>220</t>
  </si>
  <si>
    <t>618</t>
  </si>
  <si>
    <t>Fabricação de óleos e Gorduras Vegetais e Animais</t>
  </si>
  <si>
    <t>37</t>
  </si>
  <si>
    <t>38</t>
  </si>
  <si>
    <t>410</t>
  </si>
  <si>
    <t>1.161</t>
  </si>
  <si>
    <t>Moagem, Fabricação de Produtos Amiláceos e de Alimentos para Animais</t>
  </si>
  <si>
    <t>Fabricação e Refino de Açúcar</t>
  </si>
  <si>
    <t>Torrefação e Moagem de Café</t>
  </si>
  <si>
    <t>98</t>
  </si>
  <si>
    <t>96</t>
  </si>
  <si>
    <t>289</t>
  </si>
  <si>
    <t>Fabricação de Outros Produtos Alimentícios</t>
  </si>
  <si>
    <t>2.107</t>
  </si>
  <si>
    <t>1.965</t>
  </si>
  <si>
    <t>5.919</t>
  </si>
  <si>
    <t>Fabricação de Bebidas Alcoólicas</t>
  </si>
  <si>
    <t>65</t>
  </si>
  <si>
    <t>188</t>
  </si>
  <si>
    <t>Fabricação de Bebidas Não-Alcoólicas</t>
  </si>
  <si>
    <t>60</t>
  </si>
  <si>
    <t>54</t>
  </si>
  <si>
    <t>169</t>
  </si>
  <si>
    <t>Processamento Industrial do Fumo</t>
  </si>
  <si>
    <t>2</t>
  </si>
  <si>
    <t>Fabricação de Produtos do Fumo</t>
  </si>
  <si>
    <t>13</t>
  </si>
  <si>
    <t>16</t>
  </si>
  <si>
    <t>43</t>
  </si>
  <si>
    <t>Preparação e Fiação de Fibras Têxteis</t>
  </si>
  <si>
    <t>52</t>
  </si>
  <si>
    <t>53</t>
  </si>
  <si>
    <t>Tecelagem, Exceto Malha</t>
  </si>
  <si>
    <t>Fabricação de Tecidos de Malha</t>
  </si>
  <si>
    <t>Acabamentos em Fios, Tecidos e Artefatos Têxteis</t>
  </si>
  <si>
    <t>180</t>
  </si>
  <si>
    <t>Fabricação de Artefatos Têxteis, Exceto Vestuário</t>
  </si>
  <si>
    <t>570</t>
  </si>
  <si>
    <t>Confecção de Artigos do Vestuário e Acessórios</t>
  </si>
  <si>
    <t>898</t>
  </si>
  <si>
    <t>865</t>
  </si>
  <si>
    <t>2.605</t>
  </si>
  <si>
    <t>Fabricação de Artigos de Malharia e Tricotagem</t>
  </si>
  <si>
    <t>40</t>
  </si>
  <si>
    <t>Curtimento e Outras Preparações de Couro</t>
  </si>
  <si>
    <t>12</t>
  </si>
  <si>
    <t>Fabricação de Artigos para Viagem e de Artefatos Diversos de Couro</t>
  </si>
  <si>
    <t>117</t>
  </si>
  <si>
    <t>113</t>
  </si>
  <si>
    <t>Fabricação de Calçados</t>
  </si>
  <si>
    <t>94</t>
  </si>
  <si>
    <t>Fabricação de Partes para Calçados, de Qualquer Material</t>
  </si>
  <si>
    <t>18</t>
  </si>
  <si>
    <t>47</t>
  </si>
  <si>
    <t>Desdobramento de Madeira</t>
  </si>
  <si>
    <t>Fabricação de Produtos de Madeira, Cortiça e Material Trançado, Exceto Móveis</t>
  </si>
  <si>
    <t>260</t>
  </si>
  <si>
    <t>795</t>
  </si>
  <si>
    <t>Fabricação de Celulose e Outras Pastas para a Fabricação de Papel</t>
  </si>
  <si>
    <t>Fabricação de Papel, Cartolina e Papel-Cartão</t>
  </si>
  <si>
    <t>22</t>
  </si>
  <si>
    <t>Fabricação de Embalagens de Papel, Cartolina, Papel-Cartão e Papelão Ondulado</t>
  </si>
  <si>
    <t>87</t>
  </si>
  <si>
    <t>83</t>
  </si>
  <si>
    <t>248</t>
  </si>
  <si>
    <t>Fabricação de Produtos Diversos de Papel, Cartolina, Papel-Cartão e Papelão Ondulado</t>
  </si>
  <si>
    <t>74</t>
  </si>
  <si>
    <t>71</t>
  </si>
  <si>
    <t>219</t>
  </si>
  <si>
    <t>Atividade de Impressão</t>
  </si>
  <si>
    <t>552</t>
  </si>
  <si>
    <t>532</t>
  </si>
  <si>
    <t>1.590</t>
  </si>
  <si>
    <t>Serviços de Pré-Impressão e Acabamentos Gráficos</t>
  </si>
  <si>
    <t>130</t>
  </si>
  <si>
    <t>393</t>
  </si>
  <si>
    <t>Reprodução de Materiais Gravados em Qualquer Suporte</t>
  </si>
  <si>
    <t>Fabricação de Produtos Derivados do Petróleo</t>
  </si>
  <si>
    <t>Fabricação de Biocombustíveis</t>
  </si>
  <si>
    <t>14</t>
  </si>
  <si>
    <t>Fabricação de Produtos Químicos Inorgânicos</t>
  </si>
  <si>
    <t>75</t>
  </si>
  <si>
    <t>73</t>
  </si>
  <si>
    <t>Fabricação de Produtos Químicos Orgânicos</t>
  </si>
  <si>
    <t>29</t>
  </si>
  <si>
    <t>86</t>
  </si>
  <si>
    <t>Fabricação de Resinas e Elastômeros</t>
  </si>
  <si>
    <t>27</t>
  </si>
  <si>
    <t>78</t>
  </si>
  <si>
    <t>Fabricação de Fibras Artificiais e Sintéticas</t>
  </si>
  <si>
    <t>Fabricação de Defensivos Agrícolas e Desinfestantes Domissanitários</t>
  </si>
  <si>
    <t>Fabricação de Sabões, Detergentes, Produtos de Limpeza, Cosméticos, Produtos de Perfumaria e de Higiene Pessoal</t>
  </si>
  <si>
    <t>191</t>
  </si>
  <si>
    <t>187</t>
  </si>
  <si>
    <t>558</t>
  </si>
  <si>
    <t>Fabricação de Tintas, Vernizes, Esmaltes, Lacas e Produtos Afins</t>
  </si>
  <si>
    <t>44</t>
  </si>
  <si>
    <t>46</t>
  </si>
  <si>
    <t>Fabricação de Produtos e Preparados Químicos Diversos</t>
  </si>
  <si>
    <t>45</t>
  </si>
  <si>
    <t>Fabricação de Produtos Farmoquímicos</t>
  </si>
  <si>
    <t>1</t>
  </si>
  <si>
    <t>Fabricação de Produtos Farmacêuticos</t>
  </si>
  <si>
    <t>Fabricação de Produtos de Borracha</t>
  </si>
  <si>
    <t>Fabricação de Produtos de Material Plástico</t>
  </si>
  <si>
    <t>372</t>
  </si>
  <si>
    <t>1.109</t>
  </si>
  <si>
    <t>Fabricação de Vidro e de Produtos do Vidro</t>
  </si>
  <si>
    <t>97</t>
  </si>
  <si>
    <t>88</t>
  </si>
  <si>
    <t>Fabricação de Cimento</t>
  </si>
  <si>
    <t>Fabricação de Artefatos de Concreto, Cimento, Fibrocimento, Gesso e Materiais Semelhantes</t>
  </si>
  <si>
    <t>703</t>
  </si>
  <si>
    <t>692</t>
  </si>
  <si>
    <t>Fabricação de Produtos Cerâmicos</t>
  </si>
  <si>
    <t>314</t>
  </si>
  <si>
    <t>950</t>
  </si>
  <si>
    <t>Aparelhamento de Pedras e Fabricação de Outros Produtos de Minerais Não-Metálicos</t>
  </si>
  <si>
    <t>469</t>
  </si>
  <si>
    <t>1.347</t>
  </si>
  <si>
    <t>Produção de Ferro-Gusa e de Ferroligas</t>
  </si>
  <si>
    <t>Produção de Tubos de Aço, Exceto Tubos sem Costura</t>
  </si>
  <si>
    <t>Metalurgia dos Metais Não-Ferrosos</t>
  </si>
  <si>
    <t>Fabricação de Estruturas Metálicas e Obras de Caldeiraria Pesada</t>
  </si>
  <si>
    <t>548</t>
  </si>
  <si>
    <t>515</t>
  </si>
  <si>
    <t>1.553</t>
  </si>
  <si>
    <t>Fabricação de Tanques, Reservatórios Metálicos e Caldeiras</t>
  </si>
  <si>
    <t>Forjaria, Estamparia, Metalurgia do Pó e Serviços de Tratamento de Metais</t>
  </si>
  <si>
    <t>346</t>
  </si>
  <si>
    <t>330</t>
  </si>
  <si>
    <t>989</t>
  </si>
  <si>
    <t>Fabricação de Artigos de Cutelaria, de Serralheria e Ferramentas</t>
  </si>
  <si>
    <t>235</t>
  </si>
  <si>
    <t>214</t>
  </si>
  <si>
    <t>656</t>
  </si>
  <si>
    <t>Fabricação de Produtos de Metal não Especificados Anteriormente</t>
  </si>
  <si>
    <t>237</t>
  </si>
  <si>
    <t>228</t>
  </si>
  <si>
    <t>675</t>
  </si>
  <si>
    <t>Fabricação de Componentes Eletrônicos</t>
  </si>
  <si>
    <t>31</t>
  </si>
  <si>
    <t>Fabricação de Equipamentos de Informática e Periféricos</t>
  </si>
  <si>
    <t>Fabricação de Equipamentos de Comunicação</t>
  </si>
  <si>
    <t>Fabricação de Aparelhos de Recepção, Reprodução, Gravação e Amplificação de áudio e Vídeo</t>
  </si>
  <si>
    <t>41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</si>
  <si>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</si>
  <si>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</si>
  <si>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</si>
  <si>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Fabricação de Geradores, Transformadores e Motores Elétricos</t>
  </si>
  <si>
    <t>28</t>
  </si>
  <si>
    <t>Fabricação de Pilhas, Baterias e Acumuladores Elétricos</t>
  </si>
  <si>
    <t>Fabricação de Equipamentos para Distribuição e Controle de Energia Elétrica</t>
  </si>
  <si>
    <t>129</t>
  </si>
  <si>
    <t>Fabricação de Lâmpadas e Outros Equipamentos de Iluminação</t>
  </si>
  <si>
    <t>Fabricação de Eletrodomésticos</t>
  </si>
  <si>
    <t>Fabricação de Equipamentos e Aparelhos Elétricos não Especificados Anteriormente</t>
  </si>
  <si>
    <t>55</t>
  </si>
  <si>
    <t>Fabricação de Motores, Bombas, Compressores e Equipamentos de Transmissão</t>
  </si>
  <si>
    <t>89</t>
  </si>
  <si>
    <t>Fabricação de Máquinas e Equipamentos de Uso Geral</t>
  </si>
  <si>
    <t>Fabricação de Tratores e de Máquinas e Equipamentos para a Agricultura e Pecuária</t>
  </si>
  <si>
    <t>91</t>
  </si>
  <si>
    <t>Fabricação de Máquinas-Ferramenta</t>
  </si>
  <si>
    <t>11</t>
  </si>
  <si>
    <t>Fabricação de Máquinas e Equipamentos de Uso na Extração Mineral e na Construção</t>
  </si>
  <si>
    <t>25</t>
  </si>
  <si>
    <t>Fabricação de Máquinas e Equipamentos de Uso Industrial Específico</t>
  </si>
  <si>
    <t>100</t>
  </si>
  <si>
    <t>Fabricação de Automóveis, Camionetas e Utilitários</t>
  </si>
  <si>
    <t>Fabricação de Cabines, Carrocerias e Reboques para Veículos Automotores</t>
  </si>
  <si>
    <t>79</t>
  </si>
  <si>
    <t>Fabricação de Peças e Acessórios para Veículos Automotores</t>
  </si>
  <si>
    <t>Recondicionamento e Recuperação de Motores para Veículos Automotores</t>
  </si>
  <si>
    <t>Construção de Embarcações</t>
  </si>
  <si>
    <t>Fabricação de Aeronaves</t>
  </si>
  <si>
    <t>Fabricação de Equipamentos de Transporte não Especificados Anteriormente</t>
  </si>
  <si>
    <t>63</t>
  </si>
  <si>
    <t>Fabricação de Móveis</t>
  </si>
  <si>
    <t>742</t>
  </si>
  <si>
    <t>2.207</t>
  </si>
  <si>
    <t>Fabricação de Artigos de Joalheria, Bijuteria e Semelhantes</t>
  </si>
  <si>
    <t>34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</si>
  <si>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</si>
  <si>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</si>
  <si>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</si>
  <si>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</si>
  <si>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189</t>
  </si>
  <si>
    <t>536</t>
  </si>
  <si>
    <t>Fabricação de Produtos Diversos</t>
  </si>
  <si>
    <t>1.154</t>
  </si>
  <si>
    <t>Manutenção e Reparação de Máquinas e Equipamentos</t>
  </si>
  <si>
    <t>1.152</t>
  </si>
  <si>
    <t>1.120</t>
  </si>
  <si>
    <t>3.338</t>
  </si>
  <si>
    <t>Instalação de Máquinas e Equipamentos</t>
  </si>
  <si>
    <t>Geração, Transmissão e Distribuição de Energia Elétrica</t>
  </si>
  <si>
    <t>125</t>
  </si>
  <si>
    <t>373</t>
  </si>
  <si>
    <t>Produção e Distribuição de Combustíveis Gasosos por Redes Urbanas</t>
  </si>
  <si>
    <t>Produção e Distribuição de Vapor, água Quente e Ar Condicionado</t>
  </si>
  <si>
    <t>Captação, Tratamento e Distribuição de água</t>
  </si>
  <si>
    <t>118</t>
  </si>
  <si>
    <t>Esgoto e Atividades Relacionadas</t>
  </si>
  <si>
    <t>Coleta de Resíduos</t>
  </si>
  <si>
    <t>195</t>
  </si>
  <si>
    <t>591</t>
  </si>
  <si>
    <t>Tratamento e Disposição de Resíduos</t>
  </si>
  <si>
    <t>126</t>
  </si>
  <si>
    <t>Recuperação de Materiais</t>
  </si>
  <si>
    <t>163</t>
  </si>
  <si>
    <t>145</t>
  </si>
  <si>
    <t>446</t>
  </si>
  <si>
    <t>Descontaminação e Outros Serviços de Gestão de Resíduos</t>
  </si>
  <si>
    <t>Incorporação de Empreendimentos Imobiliários</t>
  </si>
  <si>
    <t>680</t>
  </si>
  <si>
    <t>2.078</t>
  </si>
  <si>
    <t>Construção de Edifícios</t>
  </si>
  <si>
    <t>4.316</t>
  </si>
  <si>
    <t>4.130</t>
  </si>
  <si>
    <t>12.382</t>
  </si>
  <si>
    <t>Construção de Rodovias, Ferrovias, Obras Urbanas e Obras de Arte Especiais</t>
  </si>
  <si>
    <t>713</t>
  </si>
  <si>
    <t>2.124</t>
  </si>
  <si>
    <t>Obras de Infra-Estrutura para Energia Elétrica, Telecomunicações, água, Esgoto e Transporte por Dutos</t>
  </si>
  <si>
    <t>414</t>
  </si>
  <si>
    <t>1.130</t>
  </si>
  <si>
    <t>Construção de Outras Obras de Infra-Estrutura</t>
  </si>
  <si>
    <t>764</t>
  </si>
  <si>
    <t>2.265</t>
  </si>
  <si>
    <t>Demolição e Preparação do Terreno</t>
  </si>
  <si>
    <t>396</t>
  </si>
  <si>
    <t>380</t>
  </si>
  <si>
    <t>1.145</t>
  </si>
  <si>
    <t>Instalações Elétricas, Hidráulicas e Outras Instalações em Construções</t>
  </si>
  <si>
    <t>1.324</t>
  </si>
  <si>
    <t>1.248</t>
  </si>
  <si>
    <t>3.683</t>
  </si>
  <si>
    <t>Obras de Acabamento</t>
  </si>
  <si>
    <t>1.961</t>
  </si>
  <si>
    <t>Outros Serviços Especializados para Construção</t>
  </si>
  <si>
    <t>1.039</t>
  </si>
  <si>
    <t>974</t>
  </si>
  <si>
    <t>2.922</t>
  </si>
  <si>
    <t>25.184</t>
  </si>
  <si>
    <t>24.071</t>
  </si>
  <si>
    <t>72.126</t>
  </si>
  <si>
    <t>grupo_cnae</t>
  </si>
  <si>
    <t>ubiquidade</t>
  </si>
  <si>
    <t>ubiquidade_share</t>
  </si>
  <si>
    <t>complexidade_grupo_cnae_ancorada</t>
  </si>
  <si>
    <t>ano</t>
  </si>
  <si>
    <t>011</t>
  </si>
  <si>
    <t>012</t>
  </si>
  <si>
    <t>013</t>
  </si>
  <si>
    <t>016</t>
  </si>
  <si>
    <t>017</t>
  </si>
  <si>
    <t>021</t>
  </si>
  <si>
    <t>022</t>
  </si>
  <si>
    <t>023</t>
  </si>
  <si>
    <t>031</t>
  </si>
  <si>
    <t>032</t>
  </si>
  <si>
    <t>050</t>
  </si>
  <si>
    <t>305</t>
  </si>
  <si>
    <t>TSB</t>
  </si>
  <si>
    <t>Evidência (caderno / atividade)</t>
  </si>
  <si>
    <t>CNAE A - Apêndice A4: pecuária bovina de corte e leite a pasto (01.51-2/01, 01.51-2/02)</t>
  </si>
  <si>
    <t>CNAE B - B8 Grafita (08.99-1/01) e B9 Quartzo (08.99-1/02)</t>
  </si>
  <si>
    <t>CNAE C - C7 Papel e celulose (17.21-4, 17.22-2)</t>
  </si>
  <si>
    <t>CNAE C - C7 Papel e celulose (17.31-1, 17.32-0, 17.33-8)</t>
  </si>
  <si>
    <t>CNAE C - C7 Papel e celulose (17.41-9, 17.42-7, 17.49-4)</t>
  </si>
  <si>
    <t>CNAE C - C6 Químicos inorgânicos (20.11-8, 20.12-6, 20.14-2, 20.19-3/99)</t>
  </si>
  <si>
    <t>CNAE C - C5 Aditivos de uso industrial (20.93-2)</t>
  </si>
  <si>
    <t>CNAE C - C8 Vidro (23.11-7, 23.12-5, 23.19-2)</t>
  </si>
  <si>
    <t>CNAE C - C3 Cimento (23.20-6)</t>
  </si>
  <si>
    <t>CNAE C - C1 Ferro e aço (24.21-1, 24.22-9/01, 24.22-9/02, 24.23-7/01, 24.23-7/02, 24.24-5/01, 24.24-5/02)</t>
  </si>
  <si>
    <t>CNAE C - C2 Alumínio (24.41-5/01, 24.41-5/02)</t>
  </si>
  <si>
    <t>GST</t>
  </si>
  <si>
    <t>Evidência (missão / cadeia produtiva NIB)</t>
  </si>
  <si>
    <t>Missão 1 - cadeia 'Têxtil'</t>
  </si>
  <si>
    <t>Missão 1 - cadeia 'Têxtil' (interpretado em sentido amplo, incluindo confecção)</t>
  </si>
  <si>
    <t>Missão 1 - cadeia 'Fertilizantes e biofertilizantes' (classe 20.13-4, fabricação de adubos e fertilizantes, está neste grupo)</t>
  </si>
  <si>
    <t>Missão 2 - cadeia 'Medicamentos e Princípios Ativos biológicos'</t>
  </si>
  <si>
    <t>Missão 5 - cadeia 'Descarbonização da indústria de base (cimento, aço e química sustentáveis)'</t>
  </si>
  <si>
    <t>Missão 4 - cadeia 'Semicondutores'</t>
  </si>
  <si>
    <t>Missão 2 - cadeia 'Dispositivos Médicos (equipamentos médicos)'</t>
  </si>
  <si>
    <t>Missão 3 - cadeia 'Baterias elétricas'</t>
  </si>
  <si>
    <t>Missão 3 - cadeia 'Metroferroviários e suas peças, partes e componentes' (sem grupo CNAE dedicado a material rodante ferroviário, recai neste residual)</t>
  </si>
  <si>
    <t>Missão 4 - cadeia 'Produtos e serviços digitais avançados (plataformas digitais e computação em nuvem)'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</si>
</sst>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R$&quot;\ #,##0.00"/>
    <numFmt numFmtId="166" formatCode="#,##0.0"/>
  </numFmts>
  <fonts count="1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11"/>
      <name val="Arial"/>
      <family val="2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theme="4" tint="0.3999755851924192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0" borderId="0" xfId="1"/>
    <xf numFmtId="49" fontId="2" fillId="0" borderId="0" xfId="1" applyNumberFormat="1"/>
    <xf numFmtId="49" fontId="0" fillId="0" borderId="0" xfId="0" applyNumberFormat="1"/>
    <xf numFmtId="0" fontId="13" fillId="3" borderId="3" xfId="0" applyFont="1" applyFill="1" applyBorder="1"/>
    <xf numFmtId="0" fontId="15" fillId="0" borderId="1" xfId="0" applyFont="1" applyBorder="1" applyAlignment="1">
      <alignment horizontal="center"/>
    </xf>
    <xf numFmtId="0" fontId="13" fillId="0" borderId="3" xfId="0" applyFont="1" applyBorder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49" fontId="0" fillId="3" borderId="2" xfId="0" applyNumberFormat="1" applyFill="1" applyBorder="1"/>
    <xf numFmtId="49" fontId="0" fillId="0" borderId="2" xfId="0" applyNumberFormat="1" applyBorder="1"/>
    <xf numFmtId="49" fontId="0" fillId="3" borderId="2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top"/>
    </xf>
    <xf numFmtId="0" fontId="9" fillId="0" borderId="0" xfId="1" applyFont="1"/>
    <xf numFmtId="165" fontId="9" fillId="0" borderId="0" xfId="1" applyNumberFormat="1" applyFont="1"/>
    <xf numFmtId="164" fontId="9" fillId="0" borderId="0" xfId="1" applyNumberFormat="1" applyFont="1" applyAlignment="1">
      <alignment horizontal="center"/>
    </xf>
    <xf numFmtId="0" fontId="16" fillId="0" borderId="0" xfId="1" applyFont="1" applyAlignment="1">
      <alignment horizontal="center" vertical="top"/>
    </xf>
    <xf numFmtId="164" fontId="2" fillId="0" borderId="0" xfId="1" applyNumberFormat="1" applyAlignment="1">
      <alignment horizontal="center"/>
    </xf>
    <xf numFmtId="165" fontId="2" fillId="0" borderId="0" xfId="1" applyNumberFormat="1"/>
    <xf numFmtId="0" fontId="9" fillId="0" borderId="0" xfId="1" applyFont="1" applyAlignment="1">
      <alignment horizontal="center"/>
    </xf>
    <xf numFmtId="165" fontId="9" fillId="0" borderId="0" xfId="1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3" fontId="2" fillId="0" borderId="0" xfId="1" applyNumberFormat="1" applyAlignment="1">
      <alignment horizontal="center"/>
    </xf>
    <xf numFmtId="4" fontId="1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16" fillId="0" borderId="8" xfId="3" applyFont="1" applyBorder="1" applyAlignment="1">
      <alignment horizontal="center" vertical="top"/>
    </xf>
    <xf numFmtId="164" fontId="16" fillId="0" borderId="8" xfId="3" applyNumberFormat="1" applyFont="1" applyBorder="1" applyAlignment="1">
      <alignment horizontal="center" vertical="top"/>
    </xf>
    <xf numFmtId="0" fontId="1" fillId="0" borderId="0" xfId="3"/>
    <xf numFmtId="0" fontId="1" fillId="0" borderId="0" xfId="3" applyAlignment="1">
      <alignment horizontal="center"/>
    </xf>
    <xf numFmtId="165" fontId="1" fillId="0" borderId="0" xfId="3" applyNumberFormat="1"/>
    <xf numFmtId="164" fontId="1" fillId="0" borderId="0" xfId="3" applyNumberFormat="1" applyAlignment="1">
      <alignment horizontal="center"/>
    </xf>
    <xf numFmtId="49" fontId="1" fillId="0" borderId="0" xfId="3" applyNumberFormat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0" fontId="13" fillId="6" borderId="3" xfId="0" applyFont="1" applyFill="1" applyBorder="1"/>
    <xf numFmtId="2" fontId="11" fillId="6" borderId="1" xfId="0" applyNumberFormat="1" applyFont="1" applyFill="1" applyBorder="1" applyAlignment="1">
      <alignment horizontal="center"/>
    </xf>
    <xf numFmtId="1" fontId="11" fillId="6" borderId="6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center"/>
    </xf>
    <xf numFmtId="165" fontId="11" fillId="6" borderId="5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166" fontId="11" fillId="6" borderId="5" xfId="0" applyNumberFormat="1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17" fillId="4" borderId="0" xfId="0" applyFont="1" applyFill="1" applyAlignment="1">
      <alignment horizontal="left"/>
    </xf>
    <xf numFmtId="0" fontId="3" fillId="5" borderId="0" xfId="0" applyFont="1" applyFill="1"/>
    <xf numFmtId="0" fontId="3" fillId="0" borderId="0" xfId="0" applyFont="1" applyAlignment="1">
      <alignment horizontal="center"/>
    </xf>
  </cellXfs>
  <cellStyles count="4">
    <cellStyle name="Normal" xfId="0" builtinId="0"/>
    <cellStyle name="Normal 2" xfId="1" xr:uid="{3174208D-2561-4AB4-ABEC-C8616D2FCD3F}"/>
    <cellStyle name="Normal 3" xfId="3" xr:uid="{DCDF3DEF-7742-4E80-82EB-87280865691E}"/>
    <cellStyle name="Porcentagem 2" xfId="2" xr:uid="{1C12F508-8384-4AEC-B55D-88E7D5141EB6}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6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strike val="0"/>
        <outline val="0"/>
        <shadow val="0"/>
        <u val="none"/>
        <vertAlign val="baseline"/>
        <sz val="10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numFmt numFmtId="0" formatCode="General"/>
      <border>
        <left style="thin">
          <color rgb="FFBFBFBF"/>
        </left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numFmt numFmtId="1" formatCode="0"/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top style="thin">
          <color rgb="FFBFBFBF"/>
        </top>
      </border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das compras públicas por Atividade</a:t>
            </a:r>
            <a:r>
              <a:rPr lang="pt-BR" baseline="0"/>
              <a:t> Econômica (%): Bahia, </a:t>
            </a:r>
            <a:r>
              <a:rPr lang="pt-BR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Compras_CNAE!$I$2:$I$12</c:f>
              <c:strCache>
                <c:ptCount val="11"/>
                <c:pt idx="0">
                  <c:v>Demais itens</c:v>
                </c:pt>
                <c:pt idx="1">
                  <c:v>Eletrodomésticos</c:v>
                </c:pt>
                <c:pt idx="2">
                  <c:v>Artigos do vestuário e acessórios</c:v>
                </c:pt>
                <c:pt idx="3">
                  <c:v>Produtos farmoquímicos</c:v>
                </c:pt>
                <c:pt idx="4">
                  <c:v>Caminhões e ônibus</c:v>
                </c:pt>
                <c:pt idx="5">
                  <c:v>Aeronaves</c:v>
                </c:pt>
                <c:pt idx="6">
                  <c:v>Tratores e de máquinas e equipamentos para a agricultura e pecuária</c:v>
                </c:pt>
                <c:pt idx="7">
                  <c:v>Equipamentos de informática e periféricos</c:v>
                </c:pt>
                <c:pt idx="8">
                  <c:v>Instrumentos e materiais para uso médico e odontológico</c:v>
                </c:pt>
                <c:pt idx="9">
                  <c:v>Automóveis, camionetas e utilitários</c:v>
                </c:pt>
                <c:pt idx="10">
                  <c:v>Produtos farmacêuticos</c:v>
                </c:pt>
              </c:strCache>
            </c:strRef>
          </c:cat>
          <c:val>
            <c:numRef>
              <c:f>Compras_CNAE!$K$2:$K$12</c:f>
              <c:numCache>
                <c:formatCode>0.0</c:formatCode>
                <c:ptCount val="11"/>
                <c:pt idx="0">
                  <c:v>20.47999999999999</c:v>
                </c:pt>
                <c:pt idx="1">
                  <c:v>1.93</c:v>
                </c:pt>
                <c:pt idx="2">
                  <c:v>2.11</c:v>
                </c:pt>
                <c:pt idx="3">
                  <c:v>2.5099999999999998</c:v>
                </c:pt>
                <c:pt idx="4">
                  <c:v>3.24</c:v>
                </c:pt>
                <c:pt idx="5">
                  <c:v>3.51</c:v>
                </c:pt>
                <c:pt idx="6">
                  <c:v>3.94</c:v>
                </c:pt>
                <c:pt idx="7">
                  <c:v>5.38</c:v>
                </c:pt>
                <c:pt idx="8">
                  <c:v>11.88</c:v>
                </c:pt>
                <c:pt idx="9">
                  <c:v>16.37</c:v>
                </c:pt>
                <c:pt idx="10">
                  <c:v>28.65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7-4FD0-8DEB-0D0401B93C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/>
                </a:solidFill>
              </a:rPr>
              <a:t>Distribuição das compras públicas por Atividade Econômica (%): Bahia, </a:t>
            </a:r>
            <a:r>
              <a:rPr lang="pt-B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Compras_CNAE!$I$17:$I$26</c:f>
              <c:strCache>
                <c:ptCount val="10"/>
                <c:pt idx="0">
                  <c:v>Demais itens</c:v>
                </c:pt>
                <c:pt idx="1">
                  <c:v>Eletrodomésticos</c:v>
                </c:pt>
                <c:pt idx="2">
                  <c:v>Produtos farmoquímicos</c:v>
                </c:pt>
                <c:pt idx="3">
                  <c:v>Tratores e de máquinas e equipamentos para a agricultura e pecuária</c:v>
                </c:pt>
                <c:pt idx="4">
                  <c:v>Equipamentos de informática e periféricos</c:v>
                </c:pt>
                <c:pt idx="5">
                  <c:v>Aparelhos e instrumentos de medida, teste e controle; cronômetros e relógios</c:v>
                </c:pt>
                <c:pt idx="6">
                  <c:v>Móveis</c:v>
                </c:pt>
                <c:pt idx="7">
                  <c:v>Automóveis, camionetas e utilitários</c:v>
                </c:pt>
                <c:pt idx="8">
                  <c:v>Instrumentos e materiais para uso médico e odontológico e de artigos ópticos</c:v>
                </c:pt>
                <c:pt idx="9">
                  <c:v>Produtos farmacêuticos</c:v>
                </c:pt>
              </c:strCache>
            </c:strRef>
          </c:cat>
          <c:val>
            <c:numRef>
              <c:f>Compras_CNAE!$K$17:$K$26</c:f>
              <c:numCache>
                <c:formatCode>0.0</c:formatCode>
                <c:ptCount val="10"/>
                <c:pt idx="0">
                  <c:v>20.420000000000002</c:v>
                </c:pt>
                <c:pt idx="1">
                  <c:v>2.6</c:v>
                </c:pt>
                <c:pt idx="2">
                  <c:v>2.78</c:v>
                </c:pt>
                <c:pt idx="3">
                  <c:v>3.79</c:v>
                </c:pt>
                <c:pt idx="4">
                  <c:v>5.54</c:v>
                </c:pt>
                <c:pt idx="5">
                  <c:v>5.91</c:v>
                </c:pt>
                <c:pt idx="6">
                  <c:v>6.21</c:v>
                </c:pt>
                <c:pt idx="7">
                  <c:v>9.61</c:v>
                </c:pt>
                <c:pt idx="8">
                  <c:v>17.03</c:v>
                </c:pt>
                <c:pt idx="9">
                  <c:v>26.11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A-45C9-A5B6-7FBF3B51D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69849</xdr:colOff>
      <xdr:row>0</xdr:row>
      <xdr:rowOff>112712</xdr:rowOff>
    </xdr:from>
    <xdr:to>
      <xdr:col>23</xdr:col>
      <xdr:colOff>304799</xdr:colOff>
      <xdr:row>19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A69C41-DBAA-4D87-AB77-799F0A0C2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20</xdr:row>
      <xdr:rowOff>152400</xdr:rowOff>
    </xdr:from>
    <xdr:to>
      <xdr:col>23</xdr:col>
      <xdr:colOff>320675</xdr:colOff>
      <xdr:row>39</xdr:row>
      <xdr:rowOff>141288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00C861-3A9D-42FA-AA88-60FF1B518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9FC171E-2292-4419-AF6A-F1FA851C6AE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AA9E14-F95D-48FD-9AC1-0A32E344BB3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B47A1-4BE8-47DD-A47D-FEF804C53882}" name="Tabela1" displayName="Tabela1" ref="A4:H87" totalsRowShown="0" headerRowDxfId="43" dataDxfId="42" headerRowBorderDxfId="40" tableBorderDxfId="41">
  <autoFilter ref="A4:H87" xr:uid="{391B47A1-4BE8-47DD-A47D-FEF804C53882}"/>
  <tableColumns count="8">
    <tableColumn id="1" xr3:uid="{55BBFA16-8C4B-4E16-AF31-1B07AD9E06FE}" name="CNAE" dataDxfId="39"/>
    <tableColumn id="2" xr3:uid="{A485DF7C-214E-4BAB-B3A6-EE2D569CC7D3}" name="Setor" dataDxfId="38"/>
    <tableColumn id="4" xr3:uid="{14F5B534-54C7-4A8A-B9DE-7CCC786E9965}" name="IND01_x000a_Emprego" dataDxfId="37">
      <calculatedColumnFormula>VLOOKUP(Tabela1[[#This Row],[CNAE]],'RAIS Vínculos - Bahia 2023-2025'!A:E,3,FALSE)</calculatedColumnFormula>
    </tableColumn>
    <tableColumn id="11" xr3:uid="{A1629E9D-A3D7-4B8A-A045-B73C72F94B13}" name="IND02_x000a_Número de estabelecimentos (un.)" dataDxfId="36">
      <calculatedColumnFormula>VLOOKUP(Tabela1[[#This Row],[CNAE]],'RAIS Estabelecimentos - Bah (2)'!A:E,3,FALSE)</calculatedColumnFormula>
    </tableColumn>
    <tableColumn id="12" xr3:uid="{0123F42D-5F0E-49D6-93C2-B20EFE22EC1D}" name="IND03_x000a_Complexidade Econômica" dataDxfId="35">
      <calculatedColumnFormula>VLOOKUP(Tabela1[[#This Row],[CNAE]],Complexidade!A:D,4,FALSE)</calculatedColumnFormula>
    </tableColumn>
    <tableColumn id="8" xr3:uid="{771CA204-96D5-4DE1-A4FD-19D400CD1187}" name="AMB01_x000a_TSB (0/1)" dataDxfId="34">
      <calculatedColumnFormula>VLOOKUP(Tabela1[[#This Row],[CNAE]],CNAE_TSB!A:C,3,FALSE)</calculatedColumnFormula>
    </tableColumn>
    <tableColumn id="9" xr3:uid="{5A4A91D3-8C07-4CEB-ADC1-17729A11A5C1}" name="GST01_x000a_NIB (0/1)" dataDxfId="33">
      <calculatedColumnFormula>VLOOKUP(Tabela1[[#This Row],[CNAE]],CNAE_GST!A:C,3,FALSE)</calculatedColumnFormula>
    </tableColumn>
    <tableColumn id="10" xr3:uid="{C8FDE624-0F1D-499A-834E-439D440ED3FD}" name="GST02_x000a_Dependência (%)" dataDxfId="32">
      <calculatedColumnFormula>VLOOKUP(Tabela1[[#This Row],[CNAE]],Dependencia_CNAE!A:G,7,FALSE)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C15D0-83EE-4507-A334-B7AB251BE753}" name="Tabela4" displayName="Tabela4" ref="A4:O87" totalsRowShown="0" headerRowDxfId="31" dataDxfId="30" headerRowBorderDxfId="28" tableBorderDxfId="29">
  <autoFilter ref="A4:O87" xr:uid="{3ECC15D0-83EE-4507-A334-B7AB251BE753}"/>
  <sortState xmlns:xlrd2="http://schemas.microsoft.com/office/spreadsheetml/2017/richdata2" ref="A5:O87">
    <sortCondition descending="1" ref="L4:L87"/>
  </sortState>
  <tableColumns count="15">
    <tableColumn id="1" xr3:uid="{6E8851A9-E4B2-4796-B5C9-64B46E877F5E}" name="CNAE" dataDxfId="27"/>
    <tableColumn id="2" xr3:uid="{22DBB608-B853-4999-9FA4-2C9E5AF08AFF}" name="Setor" dataDxfId="26"/>
    <tableColumn id="3" xr3:uid="{0B0A1892-3824-4E3F-9712-0F81B380F910}" name="IND01_x000a_(norm.)" dataDxfId="25">
      <calculatedColumnFormula>(VLOOKUP($A5,Base_dados!$A$5:$H$103,3,FALSE())-MIN(Tabela1[IND01
Emprego]))/(MAX(Tabela1[IND01
Emprego])-MIN(Tabela1[IND01
Emprego]))</calculatedColumnFormula>
    </tableColumn>
    <tableColumn id="4" xr3:uid="{AB7A56B1-5632-4D53-B127-D7551230EF4B}" name="IND02_x000a_(norm.)" dataDxfId="24">
      <calculatedColumnFormula>(VLOOKUP($A5,Base_dados!$A$5:$H$103,4,FALSE())-MIN(Base_dados!C$5:C$103))/(MAX(Base_dados!C$5:C$103)-MIN(Base_dados!C$5:C$103))</calculatedColumnFormula>
    </tableColumn>
    <tableColumn id="5" xr3:uid="{B9593901-9DC6-43EE-A25E-7D6AF271CF28}" name="IND03_x000a_(norm.)" dataDxfId="23">
      <calculatedColumnFormula>(VLOOKUP($A5,Base_dados!$A$5:$H$103,5,FALSE())-MIN(Tabela1[IND03
Complexidade Econômica]))/(MAX(Tabela1[IND03
Complexidade Econômica])-MIN(Tabela1[IND03
Complexidade Econômica]))</calculatedColumnFormula>
    </tableColumn>
    <tableColumn id="8" xr3:uid="{B3B602B3-A609-4941-95B6-E6EE4DA8619E}" name="AMB01_x000a_(norm.)" dataDxfId="22">
      <calculatedColumnFormula>VLOOKUP($A5,Base_dados!A:H,6,FALSE())</calculatedColumnFormula>
    </tableColumn>
    <tableColumn id="9" xr3:uid="{885A3FEC-8914-4656-89C0-09C62A2D0B0B}" name="GST01_x000a_(norm.)" dataDxfId="21">
      <calculatedColumnFormula>VLOOKUP($A5,Base_dados!$A$5:$H$103,7,FALSE())</calculatedColumnFormula>
    </tableColumn>
    <tableColumn id="10" xr3:uid="{1AA9035D-8DD3-4E42-9D30-CAE540B8FC15}" name="GST02_x000a_(norm.)" dataDxfId="20">
      <calculatedColumnFormula>(VLOOKUP(Tabela4[[#This Row],[CNAE]],Tabela1[],8,FALSE))/100</calculatedColumnFormula>
    </tableColumn>
    <tableColumn id="11" xr3:uid="{011FAE19-26AA-4FB1-8F7D-5E9182FFF8E9}" name="Score Final" dataDxfId="19">
      <calculatedColumnFormula>(C5*Config_Indicadores!$G$4+D5*Config_Indicadores!$G$5+E5*Config_Indicadores!$G$6+F5*Config_Indicadores!$G$7+G5*Config_Indicadores!$G$7+H5*Config_Indicadores!$G$8)/Config_Indicadores!$G$11</calculatedColumnFormula>
    </tableColumn>
    <tableColumn id="12" xr3:uid="{D5CBA861-733A-4281-A948-81F5B2616073}" name="Ranking" dataDxfId="18">
      <calculatedColumnFormula>RANK(I5,Tabela4[Score Final],0)</calculatedColumnFormula>
    </tableColumn>
    <tableColumn id="6" xr3:uid="{E0ED8DF3-5A03-4AAC-9608-A8015B1534B1}" name="Tx Variação" dataDxfId="17">
      <calculatedColumnFormula>VLOOKUP(Tabela4[[#This Row],[CNAE]],Síntese2!A:G,6,FALSE)</calculatedColumnFormula>
    </tableColumn>
    <tableColumn id="7" xr3:uid="{04E896D3-B2DA-4CBC-88A9-50CCE1634108}" name="Volume compra 2025" dataDxfId="16">
      <calculatedColumnFormula>VLOOKUP(Tabela4[[#This Row],[CNAE]],Síntese2!A:G,3,FALSE)</calculatedColumnFormula>
    </tableColumn>
    <tableColumn id="13" xr3:uid="{47C66FD2-A183-4045-97B2-AC42926CC1B1}" name="Class Tx" dataDxfId="15">
      <calculatedColumnFormula>IF(Tabela4[[#This Row],[Tx Variação]]&gt;=MEDIAN(Tabela4[Tx Variação]), "Alto","Baixo")</calculatedColumnFormula>
    </tableColumn>
    <tableColumn id="14" xr3:uid="{50787DE3-EAAC-4ACE-9CA1-4E6229B03D06}" name="Class Volume" dataDxfId="14">
      <calculatedColumnFormula>IF(Tabela4[[#This Row],[Volume compra 2025]]&gt;=MEDIAN(Tabela4[Volume compra 2025]), "Alto","Baixo")</calculatedColumnFormula>
    </tableColumn>
    <tableColumn id="15" xr3:uid="{BAE9F88B-8F58-4DFF-8238-992E99DF93ED}" name="Classificação geral" dataDxfId="13">
      <calculatedColumnFormula>IF(Tabela4[[#This Row],[Class Tx]]="Alto"&amp;Tabela4[[#This Row],[Class Volume]]="Alto", "Estratégico",IF(Tabela4[[#This Row],[Class Tx]]="Alto"&amp;Tabela4[[#This Row],[Class Volume]]="Baixo","Alavancagem", IF(Tabela4[[#This Row],[Class Tx]]="Baixo"&amp;Tabela4[[#This Row],[Class Volume]]="Baixo", "Não Crítico","Gargalo")))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6D5F5-C4E4-4D8F-9D63-599035397174}" name="RAIS_Vínculos___Bahia_2023_2025" displayName="RAIS_Vínculos___Bahia_2023_2025" ref="A1:F424" tableType="queryTable" totalsRowShown="0" headerRowDxfId="12" headerRowCellStyle="Normal 2">
  <autoFilter ref="A1:F424" xr:uid="{A3669C12-92F4-4CB4-8508-85B871C0CAF2}"/>
  <tableColumns count="6">
    <tableColumn id="1" xr3:uid="{11F2B0AD-79C4-46ED-9504-26CE8B06468D}" uniqueName="1" name="Cod." queryTableFieldId="1" dataDxfId="11" dataCellStyle="Normal 2"/>
    <tableColumn id="2" xr3:uid="{0F76053A-59C5-4915-AB99-E417DAA8B36E}" uniqueName="2" name="CNAE 2.0 Grupo - BAHIA" queryTableFieldId="2" dataDxfId="10" dataCellStyle="Normal 2"/>
    <tableColumn id="3" xr3:uid="{3239D2F1-01F1-4A01-AAA4-86FFBC7F1B4D}" uniqueName="3" name="2025" queryTableFieldId="3" dataDxfId="9" dataCellStyle="Normal 2"/>
    <tableColumn id="4" xr3:uid="{068C9FEF-6475-4E7A-9B43-E16BFC186BD6}" uniqueName="4" name="2024" queryTableFieldId="4" dataDxfId="8" dataCellStyle="Normal 2"/>
    <tableColumn id="5" xr3:uid="{AC673694-E298-49A5-AC69-D17CEC320568}" uniqueName="5" name="2.023" queryTableFieldId="5" dataDxfId="7" dataCellStyle="Normal 2"/>
    <tableColumn id="6" xr3:uid="{8DB99A32-4BA6-4466-9149-42C17D324FF4}" uniqueName="6" name="Total" queryTableFieldId="6" dataDxfId="6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5C1BC8-CD18-4536-B98D-15D128DC5075}" name="RAIS_Estabelecimentos___Bahia_2023_2025" displayName="RAIS_Estabelecimentos___Bahia_2023_2025" ref="A1:F435" tableType="queryTable" totalsRowShown="0" headerRowDxfId="5">
  <autoFilter ref="A1:F435" xr:uid="{9A5C1BC8-CD18-4536-B98D-15D128DC5075}"/>
  <tableColumns count="6">
    <tableColumn id="1" xr3:uid="{CF5FBC96-A7E3-455B-BF1F-1564303D79EE}" uniqueName="1" name="Cod." queryTableFieldId="1" dataDxfId="4"/>
    <tableColumn id="2" xr3:uid="{A05F2B60-6753-4816-A764-1EA8CA57ADDE}" uniqueName="2" name="CNAE 2.0 Grupo - BAHIA" queryTableFieldId="2" dataDxfId="3"/>
    <tableColumn id="3" xr3:uid="{16900200-08DD-4E84-A5C0-7D32EE11D238}" uniqueName="3" name="2025" queryTableFieldId="3" dataDxfId="2"/>
    <tableColumn id="4" xr3:uid="{6A254C1E-1C66-4580-B34B-F4664ADDA503}" uniqueName="4" name="2024" queryTableFieldId="4" dataDxfId="1"/>
    <tableColumn id="5" xr3:uid="{2E6C93EE-37EE-4B6E-BE28-73D4F7DE3D47}" uniqueName="5" name="2023" queryTableFieldId="5"/>
    <tableColumn id="6" xr3:uid="{B210F4A8-C816-4B45-838B-EABAEE2B9801}" uniqueName="6" name="Tota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08D8BD-3B89-4E6F-9BD7-C4275036C097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b299fa9b-58a1-4f62-a075-4bf423ced8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Normal="100" workbookViewId="0">
      <pane ySplit="3" topLeftCell="A4" activePane="bottomLeft" state="frozen"/>
      <selection pane="bottomLeft" activeCell="H10" sqref="H10"/>
    </sheetView>
  </sheetViews>
  <sheetFormatPr defaultColWidth="8.5703125" defaultRowHeight="14.45"/>
  <cols>
    <col min="1" max="1" width="8" customWidth="1"/>
    <col min="2" max="2" width="12" customWidth="1"/>
    <col min="3" max="3" width="46" customWidth="1"/>
    <col min="4" max="4" width="30" customWidth="1"/>
    <col min="5" max="5" width="25" customWidth="1"/>
    <col min="6" max="6" width="14" customWidth="1"/>
    <col min="7" max="7" width="7" customWidth="1"/>
    <col min="8" max="8" width="12" customWidth="1"/>
    <col min="9" max="9" width="40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7">
        <v>2</v>
      </c>
      <c r="H4" s="7" t="s">
        <v>16</v>
      </c>
      <c r="I4" s="4"/>
    </row>
    <row r="5" spans="1:9" ht="21.95" customHeight="1">
      <c r="A5" s="3" t="s">
        <v>17</v>
      </c>
      <c r="B5" s="3" t="s">
        <v>11</v>
      </c>
      <c r="C5" s="3" t="s">
        <v>18</v>
      </c>
      <c r="D5" s="3" t="s">
        <v>13</v>
      </c>
      <c r="E5" s="3" t="s">
        <v>14</v>
      </c>
      <c r="F5" s="3" t="s">
        <v>15</v>
      </c>
      <c r="G5" s="7">
        <v>1</v>
      </c>
      <c r="H5" s="7" t="s">
        <v>16</v>
      </c>
      <c r="I5" s="4"/>
    </row>
    <row r="6" spans="1:9">
      <c r="A6" s="3" t="s">
        <v>19</v>
      </c>
      <c r="B6" s="3" t="s">
        <v>11</v>
      </c>
      <c r="C6" s="3" t="s">
        <v>20</v>
      </c>
      <c r="D6" s="3" t="s">
        <v>21</v>
      </c>
      <c r="E6" s="3" t="s">
        <v>14</v>
      </c>
      <c r="F6" s="3" t="s">
        <v>15</v>
      </c>
      <c r="G6" s="7">
        <v>1</v>
      </c>
      <c r="H6" s="7" t="s">
        <v>16</v>
      </c>
      <c r="I6" s="4"/>
    </row>
    <row r="7" spans="1:9" ht="27.95">
      <c r="A7" s="3" t="s">
        <v>22</v>
      </c>
      <c r="B7" s="3" t="s">
        <v>23</v>
      </c>
      <c r="C7" s="3" t="s">
        <v>24</v>
      </c>
      <c r="D7" s="3" t="s">
        <v>25</v>
      </c>
      <c r="E7" s="3" t="s">
        <v>14</v>
      </c>
      <c r="F7" s="3" t="s">
        <v>26</v>
      </c>
      <c r="G7" s="7">
        <v>1</v>
      </c>
      <c r="H7" s="7" t="s">
        <v>16</v>
      </c>
      <c r="I7" s="4" t="s">
        <v>27</v>
      </c>
    </row>
    <row r="8" spans="1:9" ht="24">
      <c r="A8" s="3" t="s">
        <v>28</v>
      </c>
      <c r="B8" s="3" t="s">
        <v>29</v>
      </c>
      <c r="C8" s="3" t="s">
        <v>30</v>
      </c>
      <c r="D8" s="3" t="s">
        <v>31</v>
      </c>
      <c r="E8" s="3" t="s">
        <v>14</v>
      </c>
      <c r="F8" s="3" t="s">
        <v>26</v>
      </c>
      <c r="G8" s="7">
        <v>1</v>
      </c>
      <c r="H8" s="7" t="s">
        <v>16</v>
      </c>
      <c r="I8" s="4" t="s">
        <v>27</v>
      </c>
    </row>
    <row r="9" spans="1:9" ht="27.95">
      <c r="A9" s="3" t="s">
        <v>32</v>
      </c>
      <c r="B9" s="3" t="s">
        <v>29</v>
      </c>
      <c r="C9" s="3" t="s">
        <v>33</v>
      </c>
      <c r="D9" s="3" t="s">
        <v>34</v>
      </c>
      <c r="E9" s="3" t="s">
        <v>14</v>
      </c>
      <c r="F9" s="3" t="s">
        <v>15</v>
      </c>
      <c r="G9" s="7">
        <v>1</v>
      </c>
      <c r="H9" s="7" t="s">
        <v>16</v>
      </c>
      <c r="I9" s="4" t="s">
        <v>35</v>
      </c>
    </row>
    <row r="11" spans="1:9">
      <c r="A11" s="5" t="s">
        <v>36</v>
      </c>
      <c r="G11" s="6" cm="1">
        <f t="array" ref="G11">SUMPRODUCT($G$4:$G$9,--($H$4:$H$9="S"))</f>
        <v>7</v>
      </c>
    </row>
    <row r="13" spans="1:9" ht="30" customHeight="1">
      <c r="A13" s="69" t="s">
        <v>37</v>
      </c>
      <c r="B13" s="69"/>
      <c r="C13" s="69"/>
      <c r="D13" s="69"/>
      <c r="E13" s="69"/>
      <c r="F13" s="69"/>
      <c r="G13" s="69"/>
      <c r="H13" s="69"/>
      <c r="I13" s="69"/>
    </row>
  </sheetData>
  <mergeCells count="1"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zoomScaleNormal="100" workbookViewId="0">
      <pane xSplit="2" ySplit="4" topLeftCell="C5" activePane="bottomRight" state="frozen"/>
      <selection pane="bottomRight" activeCell="C11" sqref="C11"/>
      <selection pane="bottomLeft" activeCell="A5" sqref="A5"/>
      <selection pane="topRight" activeCell="C1" sqref="C1"/>
    </sheetView>
  </sheetViews>
  <sheetFormatPr defaultColWidth="8.5703125" defaultRowHeight="14.45"/>
  <cols>
    <col min="1" max="1" width="8.42578125" style="18" customWidth="1"/>
    <col min="2" max="2" width="62" customWidth="1"/>
    <col min="3" max="3" width="12" customWidth="1"/>
    <col min="4" max="5" width="18.7109375" customWidth="1"/>
    <col min="6" max="6" width="16" customWidth="1"/>
    <col min="7" max="7" width="16.5703125" customWidth="1"/>
    <col min="8" max="8" width="18.140625" customWidth="1"/>
  </cols>
  <sheetData>
    <row r="1" spans="1:8" ht="18">
      <c r="A1" s="70" t="s">
        <v>38</v>
      </c>
      <c r="B1" s="70"/>
    </row>
    <row r="2" spans="1:8" ht="18">
      <c r="A2" s="71">
        <v>2025</v>
      </c>
      <c r="B2" s="71"/>
    </row>
    <row r="3" spans="1:8" ht="18">
      <c r="A3" s="72"/>
    </row>
    <row r="4" spans="1:8" ht="56.45" customHeight="1">
      <c r="A4" s="8" t="s">
        <v>39</v>
      </c>
      <c r="B4" s="9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9" t="s">
        <v>45</v>
      </c>
      <c r="H4" s="10" t="s">
        <v>46</v>
      </c>
    </row>
    <row r="5" spans="1:8">
      <c r="A5" s="34" t="s">
        <v>47</v>
      </c>
      <c r="B5" s="14" t="s">
        <v>48</v>
      </c>
      <c r="C5" s="44">
        <f>VLOOKUP(Tabela1[[#This Row],[CNAE]],'RAIS Vínculos - Bahia 2023-2025'!A:E,3,FALSE)</f>
        <v>1795</v>
      </c>
      <c r="D5" s="38">
        <f>VLOOKUP(Tabela1[[#This Row],[CNAE]],'RAIS Estabelecimentos - Bah (2)'!A:E,3,FALSE)</f>
        <v>102</v>
      </c>
      <c r="E5" s="15">
        <f>VLOOKUP(Tabela1[[#This Row],[CNAE]],Complexidade!A:D,4,FALSE)</f>
        <v>-1.0904120892896101</v>
      </c>
      <c r="F5" s="15">
        <f>VLOOKUP(Tabela1[[#This Row],[CNAE]],CNAE_TSB!A:C,3,FALSE)</f>
        <v>0</v>
      </c>
      <c r="G5" s="15">
        <f>VLOOKUP(Tabela1[[#This Row],[CNAE]],CNAE_GST!A:C,3,FALSE)</f>
        <v>0</v>
      </c>
      <c r="H5" s="35">
        <f>VLOOKUP(Tabela1[[#This Row],[CNAE]],Dependencia_CNAE!A:G,7,FALSE)</f>
        <v>0</v>
      </c>
    </row>
    <row r="6" spans="1:8">
      <c r="A6" s="34" t="s">
        <v>49</v>
      </c>
      <c r="B6" s="16" t="s">
        <v>50</v>
      </c>
      <c r="C6" s="44">
        <f>VLOOKUP(Tabela1[[#This Row],[CNAE]],'RAIS Vínculos - Bahia 2023-2025'!A:E,3,FALSE)</f>
        <v>27775</v>
      </c>
      <c r="D6" s="38">
        <f>VLOOKUP(Tabela1[[#This Row],[CNAE]],'RAIS Estabelecimentos - Bah (2)'!A:E,3,FALSE)</f>
        <v>8367</v>
      </c>
      <c r="E6" s="15">
        <f>VLOOKUP(Tabela1[[#This Row],[CNAE]],Complexidade!A:D,4,FALSE)</f>
        <v>-1.8588590794331901</v>
      </c>
      <c r="F6" s="15">
        <f>VLOOKUP(Tabela1[[#This Row],[CNAE]],CNAE_TSB!A:C,3,FALSE)</f>
        <v>1</v>
      </c>
      <c r="G6" s="15">
        <f>VLOOKUP(Tabela1[[#This Row],[CNAE]],CNAE_GST!A:C,3,FALSE)</f>
        <v>0</v>
      </c>
      <c r="H6" s="35">
        <f>VLOOKUP(Tabela1[[#This Row],[CNAE]],Dependencia_CNAE!A:G,7,FALSE)</f>
        <v>0</v>
      </c>
    </row>
    <row r="7" spans="1:8">
      <c r="A7" s="34" t="s">
        <v>51</v>
      </c>
      <c r="B7" s="14" t="s">
        <v>52</v>
      </c>
      <c r="C7" s="44" t="str">
        <f>VLOOKUP(Tabela1[[#This Row],[CNAE]],'RAIS Vínculos - Bahia 2023-2025'!A:E,3,FALSE)</f>
        <v>2.526</v>
      </c>
      <c r="D7" s="38" t="str">
        <f>VLOOKUP(Tabela1[[#This Row],[CNAE]],'RAIS Estabelecimentos - Bah (2)'!A:E,3,FALSE)</f>
        <v>77</v>
      </c>
      <c r="E7" s="15">
        <f>VLOOKUP(Tabela1[[#This Row],[CNAE]],Complexidade!A:D,4,FALSE)</f>
        <v>-1.4621464669119899</v>
      </c>
      <c r="F7" s="15">
        <f>VLOOKUP(Tabela1[[#This Row],[CNAE]],CNAE_TSB!A:C,3,FALSE)</f>
        <v>1</v>
      </c>
      <c r="G7" s="15">
        <f>VLOOKUP(Tabela1[[#This Row],[CNAE]],CNAE_GST!A:C,3,FALSE)</f>
        <v>0</v>
      </c>
      <c r="H7" s="35">
        <f>VLOOKUP(Tabela1[[#This Row],[CNAE]],Dependencia_CNAE!A:G,7,FALSE)</f>
        <v>100</v>
      </c>
    </row>
    <row r="8" spans="1:8">
      <c r="A8" s="34" t="s">
        <v>53</v>
      </c>
      <c r="B8" s="16" t="s">
        <v>54</v>
      </c>
      <c r="C8" s="44" t="str">
        <f>VLOOKUP(Tabela1[[#This Row],[CNAE]],'RAIS Vínculos - Bahia 2023-2025'!A:E,3,FALSE)</f>
        <v>13.690</v>
      </c>
      <c r="D8" s="38" t="str">
        <f>VLOOKUP(Tabela1[[#This Row],[CNAE]],'RAIS Estabelecimentos - Bah (2)'!A:E,3,FALSE)</f>
        <v>140</v>
      </c>
      <c r="E8" s="15">
        <f>VLOOKUP(Tabela1[[#This Row],[CNAE]],Complexidade!A:D,4,FALSE)</f>
        <v>-0.48171224381968902</v>
      </c>
      <c r="F8" s="15">
        <f>VLOOKUP(Tabela1[[#This Row],[CNAE]],CNAE_TSB!A:C,3,FALSE)</f>
        <v>0</v>
      </c>
      <c r="G8" s="15">
        <f>VLOOKUP(Tabela1[[#This Row],[CNAE]],CNAE_GST!A:C,3,FALSE)</f>
        <v>0</v>
      </c>
      <c r="H8" s="35">
        <f>VLOOKUP(Tabela1[[#This Row],[CNAE]],Dependencia_CNAE!A:G,7,FALSE)</f>
        <v>0</v>
      </c>
    </row>
    <row r="9" spans="1:8">
      <c r="A9" s="34" t="s">
        <v>55</v>
      </c>
      <c r="B9" s="14" t="s">
        <v>56</v>
      </c>
      <c r="C9" s="44" t="str">
        <f>VLOOKUP(Tabela1[[#This Row],[CNAE]],'RAIS Vínculos - Bahia 2023-2025'!A:E,3,FALSE)</f>
        <v>3.227</v>
      </c>
      <c r="D9" s="38" t="str">
        <f>VLOOKUP(Tabela1[[#This Row],[CNAE]],'RAIS Estabelecimentos - Bah (2)'!A:E,3,FALSE)</f>
        <v>220</v>
      </c>
      <c r="E9" s="15">
        <f>VLOOKUP(Tabela1[[#This Row],[CNAE]],Complexidade!A:D,4,FALSE)</f>
        <v>-0.91636945186424301</v>
      </c>
      <c r="F9" s="15">
        <f>VLOOKUP(Tabela1[[#This Row],[CNAE]],CNAE_TSB!A:C,3,FALSE)</f>
        <v>0</v>
      </c>
      <c r="G9" s="15">
        <f>VLOOKUP(Tabela1[[#This Row],[CNAE]],CNAE_GST!A:C,3,FALSE)</f>
        <v>0</v>
      </c>
      <c r="H9" s="35">
        <f>VLOOKUP(Tabela1[[#This Row],[CNAE]],Dependencia_CNAE!A:G,7,FALSE)</f>
        <v>0</v>
      </c>
    </row>
    <row r="10" spans="1:8">
      <c r="A10" s="34" t="s">
        <v>57</v>
      </c>
      <c r="B10" s="16" t="s">
        <v>58</v>
      </c>
      <c r="C10" s="44" t="str">
        <f>VLOOKUP(Tabela1[[#This Row],[CNAE]],'RAIS Vínculos - Bahia 2023-2025'!A:E,3,FALSE)</f>
        <v>1.654</v>
      </c>
      <c r="D10" s="38" t="str">
        <f>VLOOKUP(Tabela1[[#This Row],[CNAE]],'RAIS Estabelecimentos - Bah (2)'!A:E,3,FALSE)</f>
        <v>37</v>
      </c>
      <c r="E10" s="15">
        <f>VLOOKUP(Tabela1[[#This Row],[CNAE]],Complexidade!A:D,4,FALSE)</f>
        <v>-0.542719570165618</v>
      </c>
      <c r="F10" s="15">
        <f>VLOOKUP(Tabela1[[#This Row],[CNAE]],CNAE_TSB!A:C,3,FALSE)</f>
        <v>0</v>
      </c>
      <c r="G10" s="15">
        <f>VLOOKUP(Tabela1[[#This Row],[CNAE]],CNAE_GST!A:C,3,FALSE)</f>
        <v>0</v>
      </c>
      <c r="H10" s="35">
        <f>VLOOKUP(Tabela1[[#This Row],[CNAE]],Dependencia_CNAE!A:G,7,FALSE)</f>
        <v>0</v>
      </c>
    </row>
    <row r="11" spans="1:8">
      <c r="A11" s="34" t="s">
        <v>59</v>
      </c>
      <c r="B11" s="14" t="s">
        <v>60</v>
      </c>
      <c r="C11" s="44" t="str">
        <f>VLOOKUP(Tabela1[[#This Row],[CNAE]],'RAIS Vínculos - Bahia 2023-2025'!A:E,3,FALSE)</f>
        <v>5.773</v>
      </c>
      <c r="D11" s="38" t="str">
        <f>VLOOKUP(Tabela1[[#This Row],[CNAE]],'RAIS Estabelecimentos - Bah (2)'!A:E,3,FALSE)</f>
        <v>410</v>
      </c>
      <c r="E11" s="15">
        <f>VLOOKUP(Tabela1[[#This Row],[CNAE]],Complexidade!A:D,4,FALSE)</f>
        <v>-1.300228609768</v>
      </c>
      <c r="F11" s="15">
        <f>VLOOKUP(Tabela1[[#This Row],[CNAE]],CNAE_TSB!A:C,3,FALSE)</f>
        <v>0</v>
      </c>
      <c r="G11" s="15">
        <f>VLOOKUP(Tabela1[[#This Row],[CNAE]],CNAE_GST!A:C,3,FALSE)</f>
        <v>0</v>
      </c>
      <c r="H11" s="35">
        <f>VLOOKUP(Tabela1[[#This Row],[CNAE]],Dependencia_CNAE!A:G,7,FALSE)</f>
        <v>0.41</v>
      </c>
    </row>
    <row r="12" spans="1:8">
      <c r="A12" s="34" t="s">
        <v>61</v>
      </c>
      <c r="B12" s="16" t="s">
        <v>62</v>
      </c>
      <c r="C12" s="44" t="str">
        <f>VLOOKUP(Tabela1[[#This Row],[CNAE]],'RAIS Vínculos - Bahia 2023-2025'!A:E,3,FALSE)</f>
        <v>6.609</v>
      </c>
      <c r="D12" s="38" t="str">
        <f>VLOOKUP(Tabela1[[#This Row],[CNAE]],'RAIS Estabelecimentos - Bah (2)'!A:E,3,FALSE)</f>
        <v>205</v>
      </c>
      <c r="E12" s="15">
        <f>VLOOKUP(Tabela1[[#This Row],[CNAE]],Complexidade!A:D,4,FALSE)</f>
        <v>-0.86387357009515497</v>
      </c>
      <c r="F12" s="15">
        <f>VLOOKUP(Tabela1[[#This Row],[CNAE]],CNAE_TSB!A:C,3,FALSE)</f>
        <v>0</v>
      </c>
      <c r="G12" s="15">
        <f>VLOOKUP(Tabela1[[#This Row],[CNAE]],CNAE_GST!A:C,3,FALSE)</f>
        <v>0</v>
      </c>
      <c r="H12" s="35">
        <f>VLOOKUP(Tabela1[[#This Row],[CNAE]],Dependencia_CNAE!A:G,7,FALSE)</f>
        <v>1.29</v>
      </c>
    </row>
    <row r="13" spans="1:8">
      <c r="A13" s="34" t="s">
        <v>63</v>
      </c>
      <c r="B13" s="14" t="s">
        <v>64</v>
      </c>
      <c r="C13" s="44" t="str">
        <f>VLOOKUP(Tabela1[[#This Row],[CNAE]],'RAIS Vínculos - Bahia 2023-2025'!A:E,3,FALSE)</f>
        <v>3.002</v>
      </c>
      <c r="D13" s="38" t="str">
        <f>VLOOKUP(Tabela1[[#This Row],[CNAE]],'RAIS Estabelecimentos - Bah (2)'!A:E,3,FALSE)</f>
        <v>6</v>
      </c>
      <c r="E13" s="15">
        <f>VLOOKUP(Tabela1[[#This Row],[CNAE]],Complexidade!A:D,4,FALSE)</f>
        <v>-0.575205049932906</v>
      </c>
      <c r="F13" s="15">
        <f>VLOOKUP(Tabela1[[#This Row],[CNAE]],CNAE_TSB!A:C,3,FALSE)</f>
        <v>0</v>
      </c>
      <c r="G13" s="15">
        <f>VLOOKUP(Tabela1[[#This Row],[CNAE]],CNAE_GST!A:C,3,FALSE)</f>
        <v>0</v>
      </c>
      <c r="H13" s="35">
        <f>VLOOKUP(Tabela1[[#This Row],[CNAE]],Dependencia_CNAE!A:G,7,FALSE)</f>
        <v>0</v>
      </c>
    </row>
    <row r="14" spans="1:8">
      <c r="A14" s="34" t="s">
        <v>65</v>
      </c>
      <c r="B14" s="16" t="s">
        <v>66</v>
      </c>
      <c r="C14" s="44" t="str">
        <f>VLOOKUP(Tabela1[[#This Row],[CNAE]],'RAIS Vínculos - Bahia 2023-2025'!A:E,3,FALSE)</f>
        <v>20.366</v>
      </c>
      <c r="D14" s="38" t="str">
        <f>VLOOKUP(Tabela1[[#This Row],[CNAE]],'RAIS Estabelecimentos - Bah (2)'!A:E,3,FALSE)</f>
        <v>2.107</v>
      </c>
      <c r="E14" s="15">
        <f>VLOOKUP(Tabela1[[#This Row],[CNAE]],Complexidade!A:D,4,FALSE)</f>
        <v>-0.60201063541729005</v>
      </c>
      <c r="F14" s="15">
        <f>VLOOKUP(Tabela1[[#This Row],[CNAE]],CNAE_TSB!A:C,3,FALSE)</f>
        <v>0</v>
      </c>
      <c r="G14" s="15">
        <f>VLOOKUP(Tabela1[[#This Row],[CNAE]],CNAE_GST!A:C,3,FALSE)</f>
        <v>0</v>
      </c>
      <c r="H14" s="35">
        <f>VLOOKUP(Tabela1[[#This Row],[CNAE]],Dependencia_CNAE!A:G,7,FALSE)</f>
        <v>48.06</v>
      </c>
    </row>
    <row r="15" spans="1:8">
      <c r="A15" s="34" t="s">
        <v>67</v>
      </c>
      <c r="B15" s="14" t="s">
        <v>68</v>
      </c>
      <c r="C15" s="44" t="str">
        <f>VLOOKUP(Tabela1[[#This Row],[CNAE]],'RAIS Vínculos - Bahia 2023-2025'!A:E,3,FALSE)</f>
        <v>2.967</v>
      </c>
      <c r="D15" s="38" t="str">
        <f>VLOOKUP(Tabela1[[#This Row],[CNAE]],'RAIS Estabelecimentos - Bah (2)'!A:E,3,FALSE)</f>
        <v>65</v>
      </c>
      <c r="E15" s="15">
        <f>VLOOKUP(Tabela1[[#This Row],[CNAE]],Complexidade!A:D,4,FALSE)</f>
        <v>-0.70675988472823004</v>
      </c>
      <c r="F15" s="15">
        <f>VLOOKUP(Tabela1[[#This Row],[CNAE]],CNAE_TSB!A:C,3,FALSE)</f>
        <v>0</v>
      </c>
      <c r="G15" s="15">
        <f>VLOOKUP(Tabela1[[#This Row],[CNAE]],CNAE_GST!A:C,3,FALSE)</f>
        <v>0</v>
      </c>
      <c r="H15" s="35">
        <f>VLOOKUP(Tabela1[[#This Row],[CNAE]],Dependencia_CNAE!A:G,7,FALSE)</f>
        <v>0</v>
      </c>
    </row>
    <row r="16" spans="1:8">
      <c r="A16" s="34" t="s">
        <v>69</v>
      </c>
      <c r="B16" s="16" t="s">
        <v>70</v>
      </c>
      <c r="C16" s="44" t="str">
        <f>VLOOKUP(Tabela1[[#This Row],[CNAE]],'RAIS Vínculos - Bahia 2023-2025'!A:E,3,FALSE)</f>
        <v>4.350</v>
      </c>
      <c r="D16" s="38" t="str">
        <f>VLOOKUP(Tabela1[[#This Row],[CNAE]],'RAIS Estabelecimentos - Bah (2)'!A:E,3,FALSE)</f>
        <v>60</v>
      </c>
      <c r="E16" s="15">
        <f>VLOOKUP(Tabela1[[#This Row],[CNAE]],Complexidade!A:D,4,FALSE)</f>
        <v>-0.67218226197072295</v>
      </c>
      <c r="F16" s="15">
        <f>VLOOKUP(Tabela1[[#This Row],[CNAE]],CNAE_TSB!A:C,3,FALSE)</f>
        <v>0</v>
      </c>
      <c r="G16" s="15">
        <f>VLOOKUP(Tabela1[[#This Row],[CNAE]],CNAE_GST!A:C,3,FALSE)</f>
        <v>0</v>
      </c>
      <c r="H16" s="35">
        <f>VLOOKUP(Tabela1[[#This Row],[CNAE]],Dependencia_CNAE!A:G,7,FALSE)</f>
        <v>2.0699999999999998</v>
      </c>
    </row>
    <row r="17" spans="1:8">
      <c r="A17" s="34" t="s">
        <v>71</v>
      </c>
      <c r="B17" s="14" t="s">
        <v>72</v>
      </c>
      <c r="C17" s="44" t="str">
        <f>VLOOKUP(Tabela1[[#This Row],[CNAE]],'RAIS Vínculos - Bahia 2023-2025'!A:E,3,FALSE)</f>
        <v>2.566</v>
      </c>
      <c r="D17" s="38" t="str">
        <f>VLOOKUP(Tabela1[[#This Row],[CNAE]],'RAIS Estabelecimentos - Bah (2)'!A:E,3,FALSE)</f>
        <v>52</v>
      </c>
      <c r="E17" s="15">
        <f>VLOOKUP(Tabela1[[#This Row],[CNAE]],Complexidade!A:D,4,FALSE)</f>
        <v>0.25468974944907202</v>
      </c>
      <c r="F17" s="15">
        <f>VLOOKUP(Tabela1[[#This Row],[CNAE]],CNAE_TSB!A:C,3,FALSE)</f>
        <v>0</v>
      </c>
      <c r="G17" s="15">
        <f>VLOOKUP(Tabela1[[#This Row],[CNAE]],CNAE_GST!A:C,3,FALSE)</f>
        <v>1</v>
      </c>
      <c r="H17" s="35">
        <f>VLOOKUP(Tabela1[[#This Row],[CNAE]],Dependencia_CNAE!A:G,7,FALSE)</f>
        <v>0</v>
      </c>
    </row>
    <row r="18" spans="1:8">
      <c r="A18" s="34" t="s">
        <v>73</v>
      </c>
      <c r="B18" s="16" t="s">
        <v>74</v>
      </c>
      <c r="C18" s="44" t="str">
        <f>VLOOKUP(Tabela1[[#This Row],[CNAE]],'RAIS Vínculos - Bahia 2023-2025'!A:E,3,FALSE)</f>
        <v>4.840</v>
      </c>
      <c r="D18" s="38" t="str">
        <f>VLOOKUP(Tabela1[[#This Row],[CNAE]],'RAIS Estabelecimentos - Bah (2)'!A:E,3,FALSE)</f>
        <v>19</v>
      </c>
      <c r="E18" s="15">
        <f>VLOOKUP(Tabela1[[#This Row],[CNAE]],Complexidade!A:D,4,FALSE)</f>
        <v>0.56055452076425305</v>
      </c>
      <c r="F18" s="15">
        <f>VLOOKUP(Tabela1[[#This Row],[CNAE]],CNAE_TSB!A:C,3,FALSE)</f>
        <v>0</v>
      </c>
      <c r="G18" s="15">
        <f>VLOOKUP(Tabela1[[#This Row],[CNAE]],CNAE_GST!A:C,3,FALSE)</f>
        <v>1</v>
      </c>
      <c r="H18" s="35">
        <f>VLOOKUP(Tabela1[[#This Row],[CNAE]],Dependencia_CNAE!A:G,7,FALSE)</f>
        <v>0</v>
      </c>
    </row>
    <row r="19" spans="1:8">
      <c r="A19" s="34" t="s">
        <v>75</v>
      </c>
      <c r="B19" s="14" t="s">
        <v>76</v>
      </c>
      <c r="C19" s="44" t="str">
        <f>VLOOKUP(Tabela1[[#This Row],[CNAE]],'RAIS Vínculos - Bahia 2023-2025'!A:E,3,FALSE)</f>
        <v>3.117</v>
      </c>
      <c r="D19" s="38" t="str">
        <f>VLOOKUP(Tabela1[[#This Row],[CNAE]],'RAIS Estabelecimentos - Bah (2)'!A:E,3,FALSE)</f>
        <v>202</v>
      </c>
      <c r="E19" s="15">
        <f>VLOOKUP(Tabela1[[#This Row],[CNAE]],Complexidade!A:D,4,FALSE)</f>
        <v>0.17737964577067999</v>
      </c>
      <c r="F19" s="15">
        <f>VLOOKUP(Tabela1[[#This Row],[CNAE]],CNAE_TSB!A:C,3,FALSE)</f>
        <v>0</v>
      </c>
      <c r="G19" s="15">
        <f>VLOOKUP(Tabela1[[#This Row],[CNAE]],CNAE_GST!A:C,3,FALSE)</f>
        <v>1</v>
      </c>
      <c r="H19" s="35">
        <f>VLOOKUP(Tabela1[[#This Row],[CNAE]],Dependencia_CNAE!A:G,7,FALSE)</f>
        <v>76.3</v>
      </c>
    </row>
    <row r="20" spans="1:8">
      <c r="A20" s="34" t="s">
        <v>77</v>
      </c>
      <c r="B20" s="16" t="s">
        <v>78</v>
      </c>
      <c r="C20" s="44" t="str">
        <f>VLOOKUP(Tabela1[[#This Row],[CNAE]],'RAIS Vínculos - Bahia 2023-2025'!A:E,3,FALSE)</f>
        <v>9.978</v>
      </c>
      <c r="D20" s="38" t="str">
        <f>VLOOKUP(Tabela1[[#This Row],[CNAE]],'RAIS Estabelecimentos - Bah (2)'!A:E,3,FALSE)</f>
        <v>898</v>
      </c>
      <c r="E20" s="15">
        <f>VLOOKUP(Tabela1[[#This Row],[CNAE]],Complexidade!A:D,4,FALSE)</f>
        <v>-0.89662426749139201</v>
      </c>
      <c r="F20" s="15">
        <f>VLOOKUP(Tabela1[[#This Row],[CNAE]],CNAE_TSB!A:C,3,FALSE)</f>
        <v>0</v>
      </c>
      <c r="G20" s="15">
        <f>VLOOKUP(Tabela1[[#This Row],[CNAE]],CNAE_GST!A:C,3,FALSE)</f>
        <v>1</v>
      </c>
      <c r="H20" s="35">
        <f>VLOOKUP(Tabela1[[#This Row],[CNAE]],Dependencia_CNAE!A:G,7,FALSE)</f>
        <v>28.84</v>
      </c>
    </row>
    <row r="21" spans="1:8">
      <c r="A21" s="34" t="s">
        <v>79</v>
      </c>
      <c r="B21" s="14" t="s">
        <v>80</v>
      </c>
      <c r="C21" s="44" t="str">
        <f>VLOOKUP(Tabela1[[#This Row],[CNAE]],'RAIS Vínculos - Bahia 2023-2025'!A:E,3,FALSE)</f>
        <v>2.697</v>
      </c>
      <c r="D21" s="38" t="str">
        <f>VLOOKUP(Tabela1[[#This Row],[CNAE]],'RAIS Estabelecimentos - Bah (2)'!A:E,3,FALSE)</f>
        <v>15</v>
      </c>
      <c r="E21" s="15">
        <f>VLOOKUP(Tabela1[[#This Row],[CNAE]],Complexidade!A:D,4,FALSE)</f>
        <v>-0.14388642897034601</v>
      </c>
      <c r="F21" s="15">
        <f>VLOOKUP(Tabela1[[#This Row],[CNAE]],CNAE_TSB!A:C,3,FALSE)</f>
        <v>0</v>
      </c>
      <c r="G21" s="15">
        <f>VLOOKUP(Tabela1[[#This Row],[CNAE]],CNAE_GST!A:C,3,FALSE)</f>
        <v>1</v>
      </c>
      <c r="H21" s="35">
        <f>VLOOKUP(Tabela1[[#This Row],[CNAE]],Dependencia_CNAE!A:G,7,FALSE)</f>
        <v>69.37</v>
      </c>
    </row>
    <row r="22" spans="1:8">
      <c r="A22" s="34" t="s">
        <v>81</v>
      </c>
      <c r="B22" s="16" t="s">
        <v>82</v>
      </c>
      <c r="C22" s="44" t="str">
        <f>VLOOKUP(Tabela1[[#This Row],[CNAE]],'RAIS Vínculos - Bahia 2023-2025'!A:E,3,FALSE)</f>
        <v>1.972</v>
      </c>
      <c r="D22" s="38" t="str">
        <f>VLOOKUP(Tabela1[[#This Row],[CNAE]],'RAIS Estabelecimentos - Bah (2)'!A:E,3,FALSE)</f>
        <v>117</v>
      </c>
      <c r="E22" s="15">
        <f>VLOOKUP(Tabela1[[#This Row],[CNAE]],Complexidade!A:D,4,FALSE)</f>
        <v>-3.60036639465531E-3</v>
      </c>
      <c r="F22" s="15">
        <f>VLOOKUP(Tabela1[[#This Row],[CNAE]],CNAE_TSB!A:C,3,FALSE)</f>
        <v>0</v>
      </c>
      <c r="G22" s="15">
        <f>VLOOKUP(Tabela1[[#This Row],[CNAE]],CNAE_GST!A:C,3,FALSE)</f>
        <v>0</v>
      </c>
      <c r="H22" s="35">
        <f>VLOOKUP(Tabela1[[#This Row],[CNAE]],Dependencia_CNAE!A:G,7,FALSE)</f>
        <v>74.94</v>
      </c>
    </row>
    <row r="23" spans="1:8">
      <c r="A23" s="34" t="s">
        <v>83</v>
      </c>
      <c r="B23" s="14" t="s">
        <v>84</v>
      </c>
      <c r="C23" s="44" t="str">
        <f>VLOOKUP(Tabela1[[#This Row],[CNAE]],'RAIS Vínculos - Bahia 2023-2025'!A:E,3,FALSE)</f>
        <v>41.722</v>
      </c>
      <c r="D23" s="38" t="str">
        <f>VLOOKUP(Tabela1[[#This Row],[CNAE]],'RAIS Estabelecimentos - Bah (2)'!A:E,3,FALSE)</f>
        <v>101</v>
      </c>
      <c r="E23" s="15">
        <f>VLOOKUP(Tabela1[[#This Row],[CNAE]],Complexidade!A:D,4,FALSE)</f>
        <v>-0.516829808466301</v>
      </c>
      <c r="F23" s="15">
        <f>VLOOKUP(Tabela1[[#This Row],[CNAE]],CNAE_TSB!A:C,3,FALSE)</f>
        <v>0</v>
      </c>
      <c r="G23" s="15">
        <f>VLOOKUP(Tabela1[[#This Row],[CNAE]],CNAE_GST!A:C,3,FALSE)</f>
        <v>0</v>
      </c>
      <c r="H23" s="35">
        <f>VLOOKUP(Tabela1[[#This Row],[CNAE]],Dependencia_CNAE!A:G,7,FALSE)</f>
        <v>79.8</v>
      </c>
    </row>
    <row r="24" spans="1:8">
      <c r="A24" s="34" t="s">
        <v>85</v>
      </c>
      <c r="B24" s="16" t="s">
        <v>86</v>
      </c>
      <c r="C24" s="44" t="str">
        <f>VLOOKUP(Tabela1[[#This Row],[CNAE]],'RAIS Vínculos - Bahia 2023-2025'!A:E,3,FALSE)</f>
        <v>541</v>
      </c>
      <c r="D24" s="38" t="str">
        <f>VLOOKUP(Tabela1[[#This Row],[CNAE]],'RAIS Estabelecimentos - Bah (2)'!A:E,3,FALSE)</f>
        <v>70</v>
      </c>
      <c r="E24" s="15">
        <f>VLOOKUP(Tabela1[[#This Row],[CNAE]],Complexidade!A:D,4,FALSE)</f>
        <v>-1.09398814206159</v>
      </c>
      <c r="F24" s="15">
        <f>VLOOKUP(Tabela1[[#This Row],[CNAE]],CNAE_TSB!A:C,3,FALSE)</f>
        <v>0</v>
      </c>
      <c r="G24" s="15">
        <f>VLOOKUP(Tabela1[[#This Row],[CNAE]],CNAE_GST!A:C,3,FALSE)</f>
        <v>0</v>
      </c>
      <c r="H24" s="35">
        <f>VLOOKUP(Tabela1[[#This Row],[CNAE]],Dependencia_CNAE!A:G,7,FALSE)</f>
        <v>9.07</v>
      </c>
    </row>
    <row r="25" spans="1:8">
      <c r="A25" s="34" t="s">
        <v>87</v>
      </c>
      <c r="B25" s="14" t="s">
        <v>88</v>
      </c>
      <c r="C25" s="44" t="str">
        <f>VLOOKUP(Tabela1[[#This Row],[CNAE]],'RAIS Vínculos - Bahia 2023-2025'!A:E,3,FALSE)</f>
        <v>2.152</v>
      </c>
      <c r="D25" s="38" t="str">
        <f>VLOOKUP(Tabela1[[#This Row],[CNAE]],'RAIS Estabelecimentos - Bah (2)'!A:E,3,FALSE)</f>
        <v>275</v>
      </c>
      <c r="E25" s="15">
        <f>VLOOKUP(Tabela1[[#This Row],[CNAE]],Complexidade!A:D,4,FALSE)</f>
        <v>-0.54168149472984695</v>
      </c>
      <c r="F25" s="15">
        <f>VLOOKUP(Tabela1[[#This Row],[CNAE]],CNAE_TSB!A:C,3,FALSE)</f>
        <v>0</v>
      </c>
      <c r="G25" s="15">
        <f>VLOOKUP(Tabela1[[#This Row],[CNAE]],CNAE_GST!A:C,3,FALSE)</f>
        <v>0</v>
      </c>
      <c r="H25" s="35">
        <f>VLOOKUP(Tabela1[[#This Row],[CNAE]],Dependencia_CNAE!A:G,7,FALSE)</f>
        <v>0</v>
      </c>
    </row>
    <row r="26" spans="1:8">
      <c r="A26" s="34" t="s">
        <v>89</v>
      </c>
      <c r="B26" s="16" t="s">
        <v>90</v>
      </c>
      <c r="C26" s="44" t="str">
        <f>VLOOKUP(Tabela1[[#This Row],[CNAE]],'RAIS Vínculos - Bahia 2023-2025'!A:E,3,FALSE)</f>
        <v>658</v>
      </c>
      <c r="D26" s="38" t="str">
        <f>VLOOKUP(Tabela1[[#This Row],[CNAE]],'RAIS Estabelecimentos - Bah (2)'!A:E,3,FALSE)</f>
        <v>7</v>
      </c>
      <c r="E26" s="15">
        <f>VLOOKUP(Tabela1[[#This Row],[CNAE]],Complexidade!A:D,4,FALSE)</f>
        <v>0.51814124074163603</v>
      </c>
      <c r="F26" s="15">
        <f>VLOOKUP(Tabela1[[#This Row],[CNAE]],CNAE_TSB!A:C,3,FALSE)</f>
        <v>1</v>
      </c>
      <c r="G26" s="15">
        <f>VLOOKUP(Tabela1[[#This Row],[CNAE]],CNAE_GST!A:C,3,FALSE)</f>
        <v>0</v>
      </c>
      <c r="H26" s="35">
        <f>VLOOKUP(Tabela1[[#This Row],[CNAE]],Dependencia_CNAE!A:G,7,FALSE)</f>
        <v>54.9</v>
      </c>
    </row>
    <row r="27" spans="1:8">
      <c r="A27" s="34" t="s">
        <v>91</v>
      </c>
      <c r="B27" s="14" t="s">
        <v>92</v>
      </c>
      <c r="C27" s="44" t="str">
        <f>VLOOKUP(Tabela1[[#This Row],[CNAE]],'RAIS Vínculos - Bahia 2023-2025'!A:E,3,FALSE)</f>
        <v>2.346</v>
      </c>
      <c r="D27" s="38" t="str">
        <f>VLOOKUP(Tabela1[[#This Row],[CNAE]],'RAIS Estabelecimentos - Bah (2)'!A:E,3,FALSE)</f>
        <v>87</v>
      </c>
      <c r="E27" s="15">
        <f>VLOOKUP(Tabela1[[#This Row],[CNAE]],Complexidade!A:D,4,FALSE)</f>
        <v>0.76705514694463095</v>
      </c>
      <c r="F27" s="15">
        <f>VLOOKUP(Tabela1[[#This Row],[CNAE]],CNAE_TSB!A:C,3,FALSE)</f>
        <v>1</v>
      </c>
      <c r="G27" s="15">
        <f>VLOOKUP(Tabela1[[#This Row],[CNAE]],CNAE_GST!A:C,3,FALSE)</f>
        <v>0</v>
      </c>
      <c r="H27" s="35">
        <f>VLOOKUP(Tabela1[[#This Row],[CNAE]],Dependencia_CNAE!A:G,7,FALSE)</f>
        <v>45.1</v>
      </c>
    </row>
    <row r="28" spans="1:8">
      <c r="A28" s="34" t="s">
        <v>93</v>
      </c>
      <c r="B28" s="16" t="s">
        <v>94</v>
      </c>
      <c r="C28" s="44" t="str">
        <f>VLOOKUP(Tabela1[[#This Row],[CNAE]],'RAIS Vínculos - Bahia 2023-2025'!A:E,3,FALSE)</f>
        <v>2.051</v>
      </c>
      <c r="D28" s="38" t="str">
        <f>VLOOKUP(Tabela1[[#This Row],[CNAE]],'RAIS Estabelecimentos - Bah (2)'!A:E,3,FALSE)</f>
        <v>74</v>
      </c>
      <c r="E28" s="15">
        <f>VLOOKUP(Tabela1[[#This Row],[CNAE]],Complexidade!A:D,4,FALSE)</f>
        <v>0.70664626400942498</v>
      </c>
      <c r="F28" s="15">
        <f>VLOOKUP(Tabela1[[#This Row],[CNAE]],CNAE_TSB!A:C,3,FALSE)</f>
        <v>1</v>
      </c>
      <c r="G28" s="15">
        <f>VLOOKUP(Tabela1[[#This Row],[CNAE]],CNAE_GST!A:C,3,FALSE)</f>
        <v>0</v>
      </c>
      <c r="H28" s="35">
        <f>VLOOKUP(Tabela1[[#This Row],[CNAE]],Dependencia_CNAE!A:G,7,FALSE)</f>
        <v>1.7</v>
      </c>
    </row>
    <row r="29" spans="1:8">
      <c r="A29" s="34" t="s">
        <v>95</v>
      </c>
      <c r="B29" s="14" t="s">
        <v>96</v>
      </c>
      <c r="C29" s="44" t="str">
        <f>VLOOKUP(Tabela1[[#This Row],[CNAE]],'RAIS Vínculos - Bahia 2023-2025'!A:E,3,FALSE)</f>
        <v>2.861</v>
      </c>
      <c r="D29" s="38" t="str">
        <f>VLOOKUP(Tabela1[[#This Row],[CNAE]],'RAIS Estabelecimentos - Bah (2)'!A:E,3,FALSE)</f>
        <v>552</v>
      </c>
      <c r="E29" s="15">
        <f>VLOOKUP(Tabela1[[#This Row],[CNAE]],Complexidade!A:D,4,FALSE)</f>
        <v>-8.6720616048492502E-2</v>
      </c>
      <c r="F29" s="15">
        <f>VLOOKUP(Tabela1[[#This Row],[CNAE]],CNAE_TSB!A:C,3,FALSE)</f>
        <v>0</v>
      </c>
      <c r="G29" s="15">
        <f>VLOOKUP(Tabela1[[#This Row],[CNAE]],CNAE_GST!A:C,3,FALSE)</f>
        <v>0</v>
      </c>
      <c r="H29" s="35">
        <f>VLOOKUP(Tabela1[[#This Row],[CNAE]],Dependencia_CNAE!A:G,7,FALSE)</f>
        <v>7.25</v>
      </c>
    </row>
    <row r="30" spans="1:8">
      <c r="A30" s="34" t="s">
        <v>97</v>
      </c>
      <c r="B30" s="16" t="s">
        <v>98</v>
      </c>
      <c r="C30" s="44" t="str">
        <f>VLOOKUP(Tabela1[[#This Row],[CNAE]],'RAIS Vínculos - Bahia 2023-2025'!A:E,3,FALSE)</f>
        <v>8</v>
      </c>
      <c r="D30" s="38" t="str">
        <f>VLOOKUP(Tabela1[[#This Row],[CNAE]],'RAIS Estabelecimentos - Bah (2)'!A:E,3,FALSE)</f>
        <v>4</v>
      </c>
      <c r="E30" s="15">
        <f>VLOOKUP(Tabela1[[#This Row],[CNAE]],Complexidade!A:D,4,FALSE)</f>
        <v>0.69660067219452704</v>
      </c>
      <c r="F30" s="15">
        <f>VLOOKUP(Tabela1[[#This Row],[CNAE]],CNAE_TSB!A:C,3,FALSE)</f>
        <v>0</v>
      </c>
      <c r="G30" s="15">
        <f>VLOOKUP(Tabela1[[#This Row],[CNAE]],CNAE_GST!A:C,3,FALSE)</f>
        <v>0</v>
      </c>
      <c r="H30" s="35">
        <f>VLOOKUP(Tabela1[[#This Row],[CNAE]],Dependencia_CNAE!A:G,7,FALSE)</f>
        <v>0</v>
      </c>
    </row>
    <row r="31" spans="1:8">
      <c r="A31" s="34" t="s">
        <v>99</v>
      </c>
      <c r="B31" s="14" t="s">
        <v>100</v>
      </c>
      <c r="C31" s="44" t="str">
        <f>VLOOKUP(Tabela1[[#This Row],[CNAE]],'RAIS Vínculos - Bahia 2023-2025'!A:E,3,FALSE)</f>
        <v>1.532</v>
      </c>
      <c r="D31" s="38" t="str">
        <f>VLOOKUP(Tabela1[[#This Row],[CNAE]],'RAIS Estabelecimentos - Bah (2)'!A:E,3,FALSE)</f>
        <v>20</v>
      </c>
      <c r="E31" s="15">
        <f>VLOOKUP(Tabela1[[#This Row],[CNAE]],Complexidade!A:D,4,FALSE)</f>
        <v>1.3854145350859199</v>
      </c>
      <c r="F31" s="15">
        <f>VLOOKUP(Tabela1[[#This Row],[CNAE]],CNAE_TSB!A:C,3,FALSE)</f>
        <v>0</v>
      </c>
      <c r="G31" s="15">
        <f>VLOOKUP(Tabela1[[#This Row],[CNAE]],CNAE_GST!A:C,3,FALSE)</f>
        <v>0</v>
      </c>
      <c r="H31" s="35">
        <f>VLOOKUP(Tabela1[[#This Row],[CNAE]],Dependencia_CNAE!A:G,7,FALSE)</f>
        <v>49.99</v>
      </c>
    </row>
    <row r="32" spans="1:8">
      <c r="A32" s="34" t="s">
        <v>101</v>
      </c>
      <c r="B32" s="16" t="s">
        <v>102</v>
      </c>
      <c r="C32" s="44" t="str">
        <f>VLOOKUP(Tabela1[[#This Row],[CNAE]],'RAIS Vínculos - Bahia 2023-2025'!A:E,3,FALSE)</f>
        <v>4.387</v>
      </c>
      <c r="D32" s="38" t="str">
        <f>VLOOKUP(Tabela1[[#This Row],[CNAE]],'RAIS Estabelecimentos - Bah (2)'!A:E,3,FALSE)</f>
        <v>75</v>
      </c>
      <c r="E32" s="15">
        <f>VLOOKUP(Tabela1[[#This Row],[CNAE]],Complexidade!A:D,4,FALSE)</f>
        <v>9.3491473460959595E-2</v>
      </c>
      <c r="F32" s="15">
        <f>VLOOKUP(Tabela1[[#This Row],[CNAE]],CNAE_TSB!A:C,3,FALSE)</f>
        <v>1</v>
      </c>
      <c r="G32" s="15">
        <f>VLOOKUP(Tabela1[[#This Row],[CNAE]],CNAE_GST!A:C,3,FALSE)</f>
        <v>1</v>
      </c>
      <c r="H32" s="35">
        <f>VLOOKUP(Tabela1[[#This Row],[CNAE]],Dependencia_CNAE!A:G,7,FALSE)</f>
        <v>0</v>
      </c>
    </row>
    <row r="33" spans="1:8">
      <c r="A33" s="34" t="s">
        <v>103</v>
      </c>
      <c r="B33" s="14" t="s">
        <v>104</v>
      </c>
      <c r="C33" s="44" t="str">
        <f>VLOOKUP(Tabela1[[#This Row],[CNAE]],'RAIS Vínculos - Bahia 2023-2025'!A:E,3,FALSE)</f>
        <v>168</v>
      </c>
      <c r="D33" s="38" t="str">
        <f>VLOOKUP(Tabela1[[#This Row],[CNAE]],'RAIS Estabelecimentos - Bah (2)'!A:E,3,FALSE)</f>
        <v>6</v>
      </c>
      <c r="E33" s="15">
        <f>VLOOKUP(Tabela1[[#This Row],[CNAE]],Complexidade!A:D,4,FALSE)</f>
        <v>0.649597494359065</v>
      </c>
      <c r="F33" s="15">
        <f>VLOOKUP(Tabela1[[#This Row],[CNAE]],CNAE_TSB!A:C,3,FALSE)</f>
        <v>0</v>
      </c>
      <c r="G33" s="15">
        <f>VLOOKUP(Tabela1[[#This Row],[CNAE]],CNAE_GST!A:C,3,FALSE)</f>
        <v>0</v>
      </c>
      <c r="H33" s="35">
        <f>VLOOKUP(Tabela1[[#This Row],[CNAE]],Dependencia_CNAE!A:G,7,FALSE)</f>
        <v>1.1499999999999999</v>
      </c>
    </row>
    <row r="34" spans="1:8">
      <c r="A34" s="34" t="s">
        <v>105</v>
      </c>
      <c r="B34" s="16" t="s">
        <v>106</v>
      </c>
      <c r="C34" s="44" t="str">
        <f>VLOOKUP(Tabela1[[#This Row],[CNAE]],'RAIS Vínculos - Bahia 2023-2025'!A:E,3,FALSE)</f>
        <v>5.819</v>
      </c>
      <c r="D34" s="38" t="str">
        <f>VLOOKUP(Tabela1[[#This Row],[CNAE]],'RAIS Estabelecimentos - Bah (2)'!A:E,3,FALSE)</f>
        <v>191</v>
      </c>
      <c r="E34" s="15">
        <f>VLOOKUP(Tabela1[[#This Row],[CNAE]],Complexidade!A:D,4,FALSE)</f>
        <v>0.2939044538801</v>
      </c>
      <c r="F34" s="15">
        <f>VLOOKUP(Tabela1[[#This Row],[CNAE]],CNAE_TSB!A:C,3,FALSE)</f>
        <v>0</v>
      </c>
      <c r="G34" s="15">
        <f>VLOOKUP(Tabela1[[#This Row],[CNAE]],CNAE_GST!A:C,3,FALSE)</f>
        <v>0</v>
      </c>
      <c r="H34" s="35">
        <f>VLOOKUP(Tabela1[[#This Row],[CNAE]],Dependencia_CNAE!A:G,7,FALSE)</f>
        <v>1.79</v>
      </c>
    </row>
    <row r="35" spans="1:8">
      <c r="A35" s="34" t="s">
        <v>107</v>
      </c>
      <c r="B35" s="14" t="s">
        <v>108</v>
      </c>
      <c r="C35" s="44" t="str">
        <f>VLOOKUP(Tabela1[[#This Row],[CNAE]],'RAIS Vínculos - Bahia 2023-2025'!A:E,3,FALSE)</f>
        <v>761</v>
      </c>
      <c r="D35" s="38" t="str">
        <f>VLOOKUP(Tabela1[[#This Row],[CNAE]],'RAIS Estabelecimentos - Bah (2)'!A:E,3,FALSE)</f>
        <v>44</v>
      </c>
      <c r="E35" s="15">
        <f>VLOOKUP(Tabela1[[#This Row],[CNAE]],Complexidade!A:D,4,FALSE)</f>
        <v>0.85484905158914604</v>
      </c>
      <c r="F35" s="15">
        <f>VLOOKUP(Tabela1[[#This Row],[CNAE]],CNAE_TSB!A:C,3,FALSE)</f>
        <v>0</v>
      </c>
      <c r="G35" s="15">
        <f>VLOOKUP(Tabela1[[#This Row],[CNAE]],CNAE_GST!A:C,3,FALSE)</f>
        <v>0</v>
      </c>
      <c r="H35" s="35">
        <f>VLOOKUP(Tabela1[[#This Row],[CNAE]],Dependencia_CNAE!A:G,7,FALSE)</f>
        <v>0.7</v>
      </c>
    </row>
    <row r="36" spans="1:8">
      <c r="A36" s="34" t="s">
        <v>109</v>
      </c>
      <c r="B36" s="16" t="s">
        <v>110</v>
      </c>
      <c r="C36" s="44" t="str">
        <f>VLOOKUP(Tabela1[[#This Row],[CNAE]],'RAIS Vínculos - Bahia 2023-2025'!A:E,3,FALSE)</f>
        <v>1.112</v>
      </c>
      <c r="D36" s="38" t="str">
        <f>VLOOKUP(Tabela1[[#This Row],[CNAE]],'RAIS Estabelecimentos - Bah (2)'!A:E,3,FALSE)</f>
        <v>45</v>
      </c>
      <c r="E36" s="15">
        <f>VLOOKUP(Tabela1[[#This Row],[CNAE]],Complexidade!A:D,4,FALSE)</f>
        <v>0.81568419874804499</v>
      </c>
      <c r="F36" s="15">
        <f>VLOOKUP(Tabela1[[#This Row],[CNAE]],CNAE_TSB!A:C,3,FALSE)</f>
        <v>1</v>
      </c>
      <c r="G36" s="15">
        <f>VLOOKUP(Tabela1[[#This Row],[CNAE]],CNAE_GST!A:C,3,FALSE)</f>
        <v>0</v>
      </c>
      <c r="H36" s="35">
        <f>VLOOKUP(Tabela1[[#This Row],[CNAE]],Dependencia_CNAE!A:G,7,FALSE)</f>
        <v>47.88</v>
      </c>
    </row>
    <row r="37" spans="1:8">
      <c r="A37" s="34" t="s">
        <v>111</v>
      </c>
      <c r="B37" s="14" t="s">
        <v>112</v>
      </c>
      <c r="C37" s="44" t="str">
        <f>VLOOKUP(Tabela1[[#This Row],[CNAE]],'RAIS Vínculos - Bahia 2023-2025'!A:E,3,FALSE)</f>
        <v>20</v>
      </c>
      <c r="D37" s="38" t="str">
        <f>VLOOKUP(Tabela1[[#This Row],[CNAE]],'RAIS Estabelecimentos - Bah (2)'!A:E,3,FALSE)</f>
        <v>1</v>
      </c>
      <c r="E37" s="15">
        <f>VLOOKUP(Tabela1[[#This Row],[CNAE]],Complexidade!A:D,4,FALSE)</f>
        <v>0.94364368679819799</v>
      </c>
      <c r="F37" s="15">
        <f>VLOOKUP(Tabela1[[#This Row],[CNAE]],CNAE_TSB!A:C,3,FALSE)</f>
        <v>0</v>
      </c>
      <c r="G37" s="15">
        <f>VLOOKUP(Tabela1[[#This Row],[CNAE]],CNAE_GST!A:C,3,FALSE)</f>
        <v>1</v>
      </c>
      <c r="H37" s="35">
        <f>VLOOKUP(Tabela1[[#This Row],[CNAE]],Dependencia_CNAE!A:G,7,FALSE)</f>
        <v>60.76</v>
      </c>
    </row>
    <row r="38" spans="1:8">
      <c r="A38" s="34" t="s">
        <v>113</v>
      </c>
      <c r="B38" s="16" t="s">
        <v>114</v>
      </c>
      <c r="C38" s="44" t="str">
        <f>VLOOKUP(Tabela1[[#This Row],[CNAE]],'RAIS Vínculos - Bahia 2023-2025'!A:E,3,FALSE)</f>
        <v>1.231</v>
      </c>
      <c r="D38" s="38" t="str">
        <f>VLOOKUP(Tabela1[[#This Row],[CNAE]],'RAIS Estabelecimentos - Bah (2)'!A:E,3,FALSE)</f>
        <v>6</v>
      </c>
      <c r="E38" s="15">
        <f>VLOOKUP(Tabela1[[#This Row],[CNAE]],Complexidade!A:D,4,FALSE)</f>
        <v>1.49731695237456</v>
      </c>
      <c r="F38" s="15">
        <f>VLOOKUP(Tabela1[[#This Row],[CNAE]],CNAE_TSB!A:C,3,FALSE)</f>
        <v>0</v>
      </c>
      <c r="G38" s="15">
        <f>VLOOKUP(Tabela1[[#This Row],[CNAE]],CNAE_GST!A:C,3,FALSE)</f>
        <v>1</v>
      </c>
      <c r="H38" s="35">
        <f>VLOOKUP(Tabela1[[#This Row],[CNAE]],Dependencia_CNAE!A:G,7,FALSE)</f>
        <v>79.42</v>
      </c>
    </row>
    <row r="39" spans="1:8">
      <c r="A39" s="34" t="s">
        <v>115</v>
      </c>
      <c r="B39" s="14" t="s">
        <v>116</v>
      </c>
      <c r="C39" s="44" t="str">
        <f>VLOOKUP(Tabela1[[#This Row],[CNAE]],'RAIS Vínculos - Bahia 2023-2025'!A:E,3,FALSE)</f>
        <v>7.815</v>
      </c>
      <c r="D39" s="38" t="str">
        <f>VLOOKUP(Tabela1[[#This Row],[CNAE]],'RAIS Estabelecimentos - Bah (2)'!A:E,3,FALSE)</f>
        <v>115</v>
      </c>
      <c r="E39" s="15">
        <f>VLOOKUP(Tabela1[[#This Row],[CNAE]],Complexidade!A:D,4,FALSE)</f>
        <v>0.58978559367217198</v>
      </c>
      <c r="F39" s="15">
        <f>VLOOKUP(Tabela1[[#This Row],[CNAE]],CNAE_TSB!A:C,3,FALSE)</f>
        <v>0</v>
      </c>
      <c r="G39" s="15">
        <f>VLOOKUP(Tabela1[[#This Row],[CNAE]],CNAE_GST!A:C,3,FALSE)</f>
        <v>0</v>
      </c>
      <c r="H39" s="35">
        <f>VLOOKUP(Tabela1[[#This Row],[CNAE]],Dependencia_CNAE!A:G,7,FALSE)</f>
        <v>31.88</v>
      </c>
    </row>
    <row r="40" spans="1:8">
      <c r="A40" s="34" t="s">
        <v>117</v>
      </c>
      <c r="B40" s="16" t="s">
        <v>118</v>
      </c>
      <c r="C40" s="44" t="str">
        <f>VLOOKUP(Tabela1[[#This Row],[CNAE]],'RAIS Vínculos - Bahia 2023-2025'!A:E,3,FALSE)</f>
        <v>12.653</v>
      </c>
      <c r="D40" s="38" t="str">
        <f>VLOOKUP(Tabela1[[#This Row],[CNAE]],'RAIS Estabelecimentos - Bah (2)'!A:E,3,FALSE)</f>
        <v>382</v>
      </c>
      <c r="E40" s="15">
        <f>VLOOKUP(Tabela1[[#This Row],[CNAE]],Complexidade!A:D,4,FALSE)</f>
        <v>0.59200422591030999</v>
      </c>
      <c r="F40" s="15">
        <f>VLOOKUP(Tabela1[[#This Row],[CNAE]],CNAE_TSB!A:C,3,FALSE)</f>
        <v>0</v>
      </c>
      <c r="G40" s="15">
        <f>VLOOKUP(Tabela1[[#This Row],[CNAE]],CNAE_GST!A:C,3,FALSE)</f>
        <v>0</v>
      </c>
      <c r="H40" s="35">
        <f>VLOOKUP(Tabela1[[#This Row],[CNAE]],Dependencia_CNAE!A:G,7,FALSE)</f>
        <v>2.1</v>
      </c>
    </row>
    <row r="41" spans="1:8">
      <c r="A41" s="34" t="s">
        <v>119</v>
      </c>
      <c r="B41" s="14" t="s">
        <v>120</v>
      </c>
      <c r="C41" s="44" t="str">
        <f>VLOOKUP(Tabela1[[#This Row],[CNAE]],'RAIS Vínculos - Bahia 2023-2025'!A:E,3,FALSE)</f>
        <v>1.448</v>
      </c>
      <c r="D41" s="38" t="str">
        <f>VLOOKUP(Tabela1[[#This Row],[CNAE]],'RAIS Estabelecimentos - Bah (2)'!A:E,3,FALSE)</f>
        <v>97</v>
      </c>
      <c r="E41" s="15">
        <f>VLOOKUP(Tabela1[[#This Row],[CNAE]],Complexidade!A:D,4,FALSE)</f>
        <v>0.71848654838948001</v>
      </c>
      <c r="F41" s="15">
        <f>VLOOKUP(Tabela1[[#This Row],[CNAE]],CNAE_TSB!A:C,3,FALSE)</f>
        <v>1</v>
      </c>
      <c r="G41" s="15">
        <f>VLOOKUP(Tabela1[[#This Row],[CNAE]],CNAE_GST!A:C,3,FALSE)</f>
        <v>0</v>
      </c>
      <c r="H41" s="35">
        <f>VLOOKUP(Tabela1[[#This Row],[CNAE]],Dependencia_CNAE!A:G,7,FALSE)</f>
        <v>1.06</v>
      </c>
    </row>
    <row r="42" spans="1:8">
      <c r="A42" s="34" t="s">
        <v>121</v>
      </c>
      <c r="B42" s="16" t="s">
        <v>122</v>
      </c>
      <c r="C42" s="44" t="str">
        <f>VLOOKUP(Tabela1[[#This Row],[CNAE]],'RAIS Vínculos - Bahia 2023-2025'!A:E,3,FALSE)</f>
        <v>329</v>
      </c>
      <c r="D42" s="38" t="str">
        <f>VLOOKUP(Tabela1[[#This Row],[CNAE]],'RAIS Estabelecimentos - Bah (2)'!A:E,3,FALSE)</f>
        <v>5</v>
      </c>
      <c r="E42" s="15">
        <f>VLOOKUP(Tabela1[[#This Row],[CNAE]],Complexidade!A:D,4,FALSE)</f>
        <v>0.14224467390584999</v>
      </c>
      <c r="F42" s="15">
        <f>VLOOKUP(Tabela1[[#This Row],[CNAE]],CNAE_TSB!A:C,3,FALSE)</f>
        <v>1</v>
      </c>
      <c r="G42" s="15">
        <f>VLOOKUP(Tabela1[[#This Row],[CNAE]],CNAE_GST!A:C,3,FALSE)</f>
        <v>1</v>
      </c>
      <c r="H42" s="35">
        <f>VLOOKUP(Tabela1[[#This Row],[CNAE]],Dependencia_CNAE!A:G,7,FALSE)</f>
        <v>70.58</v>
      </c>
    </row>
    <row r="43" spans="1:8">
      <c r="A43" s="34" t="s">
        <v>123</v>
      </c>
      <c r="B43" s="14" t="s">
        <v>124</v>
      </c>
      <c r="C43" s="44" t="str">
        <f>VLOOKUP(Tabela1[[#This Row],[CNAE]],'RAIS Vínculos - Bahia 2023-2025'!A:E,3,FALSE)</f>
        <v>7.970</v>
      </c>
      <c r="D43" s="38" t="str">
        <f>VLOOKUP(Tabela1[[#This Row],[CNAE]],'RAIS Estabelecimentos - Bah (2)'!A:E,3,FALSE)</f>
        <v>703</v>
      </c>
      <c r="E43" s="15">
        <f>VLOOKUP(Tabela1[[#This Row],[CNAE]],Complexidade!A:D,4,FALSE)</f>
        <v>-0.64173161308021698</v>
      </c>
      <c r="F43" s="15">
        <f>VLOOKUP(Tabela1[[#This Row],[CNAE]],CNAE_TSB!A:C,3,FALSE)</f>
        <v>0</v>
      </c>
      <c r="G43" s="15">
        <f>VLOOKUP(Tabela1[[#This Row],[CNAE]],CNAE_GST!A:C,3,FALSE)</f>
        <v>0</v>
      </c>
      <c r="H43" s="35">
        <f>VLOOKUP(Tabela1[[#This Row],[CNAE]],Dependencia_CNAE!A:G,7,FALSE)</f>
        <v>0</v>
      </c>
    </row>
    <row r="44" spans="1:8">
      <c r="A44" s="34" t="s">
        <v>125</v>
      </c>
      <c r="B44" s="16" t="s">
        <v>126</v>
      </c>
      <c r="C44" s="44" t="str">
        <f>VLOOKUP(Tabela1[[#This Row],[CNAE]],'RAIS Vínculos - Bahia 2023-2025'!A:E,3,FALSE)</f>
        <v>6.951</v>
      </c>
      <c r="D44" s="38" t="str">
        <f>VLOOKUP(Tabela1[[#This Row],[CNAE]],'RAIS Estabelecimentos - Bah (2)'!A:E,3,FALSE)</f>
        <v>329</v>
      </c>
      <c r="E44" s="15">
        <f>VLOOKUP(Tabela1[[#This Row],[CNAE]],Complexidade!A:D,4,FALSE)</f>
        <v>-1.5105027773255999</v>
      </c>
      <c r="F44" s="15">
        <f>VLOOKUP(Tabela1[[#This Row],[CNAE]],CNAE_TSB!A:C,3,FALSE)</f>
        <v>0</v>
      </c>
      <c r="G44" s="15">
        <f>VLOOKUP(Tabela1[[#This Row],[CNAE]],CNAE_GST!A:C,3,FALSE)</f>
        <v>0</v>
      </c>
      <c r="H44" s="35">
        <f>VLOOKUP(Tabela1[[#This Row],[CNAE]],Dependencia_CNAE!A:G,7,FALSE)</f>
        <v>1.1399999999999999</v>
      </c>
    </row>
    <row r="45" spans="1:8">
      <c r="A45" s="34" t="s">
        <v>127</v>
      </c>
      <c r="B45" s="14" t="s">
        <v>128</v>
      </c>
      <c r="C45" s="44" t="str">
        <f>VLOOKUP(Tabela1[[#This Row],[CNAE]],'RAIS Vínculos - Bahia 2023-2025'!A:E,3,FALSE)</f>
        <v>3.402</v>
      </c>
      <c r="D45" s="38" t="str">
        <f>VLOOKUP(Tabela1[[#This Row],[CNAE]],'RAIS Estabelecimentos - Bah (2)'!A:E,3,FALSE)</f>
        <v>469</v>
      </c>
      <c r="E45" s="15">
        <f>VLOOKUP(Tabela1[[#This Row],[CNAE]],Complexidade!A:D,4,FALSE)</f>
        <v>-0.60191649053205998</v>
      </c>
      <c r="F45" s="15">
        <f>VLOOKUP(Tabela1[[#This Row],[CNAE]],CNAE_TSB!A:C,3,FALSE)</f>
        <v>0</v>
      </c>
      <c r="G45" s="15">
        <f>VLOOKUP(Tabela1[[#This Row],[CNAE]],CNAE_GST!A:C,3,FALSE)</f>
        <v>0</v>
      </c>
      <c r="H45" s="35">
        <f>VLOOKUP(Tabela1[[#This Row],[CNAE]],Dependencia_CNAE!A:G,7,FALSE)</f>
        <v>0</v>
      </c>
    </row>
    <row r="46" spans="1:8">
      <c r="A46" s="34" t="s">
        <v>129</v>
      </c>
      <c r="B46" s="16" t="s">
        <v>130</v>
      </c>
      <c r="C46" s="44" t="str">
        <f>VLOOKUP(Tabela1[[#This Row],[CNAE]],'RAIS Vínculos - Bahia 2023-2025'!A:E,3,FALSE)</f>
        <v>559</v>
      </c>
      <c r="D46" s="38" t="str">
        <f>VLOOKUP(Tabela1[[#This Row],[CNAE]],'RAIS Estabelecimentos - Bah (2)'!A:E,3,FALSE)</f>
        <v>9</v>
      </c>
      <c r="E46" s="15">
        <f>VLOOKUP(Tabela1[[#This Row],[CNAE]],Complexidade!A:D,4,FALSE)</f>
        <v>0.99571201773903395</v>
      </c>
      <c r="F46" s="15">
        <f>VLOOKUP(Tabela1[[#This Row],[CNAE]],CNAE_TSB!A:C,3,FALSE)</f>
        <v>1</v>
      </c>
      <c r="G46" s="15">
        <f>VLOOKUP(Tabela1[[#This Row],[CNAE]],CNAE_GST!A:C,3,FALSE)</f>
        <v>1</v>
      </c>
      <c r="H46" s="35">
        <f>VLOOKUP(Tabela1[[#This Row],[CNAE]],Dependencia_CNAE!A:G,7,FALSE)</f>
        <v>0</v>
      </c>
    </row>
    <row r="47" spans="1:8">
      <c r="A47" s="34" t="s">
        <v>131</v>
      </c>
      <c r="B47" s="14" t="s">
        <v>132</v>
      </c>
      <c r="C47" s="44" t="str">
        <f>VLOOKUP(Tabela1[[#This Row],[CNAE]],'RAIS Vínculos - Bahia 2023-2025'!A:E,3,FALSE)</f>
        <v>516</v>
      </c>
      <c r="D47" s="38" t="str">
        <f>VLOOKUP(Tabela1[[#This Row],[CNAE]],'RAIS Estabelecimentos - Bah (2)'!A:E,3,FALSE)</f>
        <v>13</v>
      </c>
      <c r="E47" s="15">
        <f>VLOOKUP(Tabela1[[#This Row],[CNAE]],Complexidade!A:D,4,FALSE)</f>
        <v>1.13150086261698</v>
      </c>
      <c r="F47" s="15">
        <f>VLOOKUP(Tabela1[[#This Row],[CNAE]],CNAE_TSB!A:C,3,FALSE)</f>
        <v>1</v>
      </c>
      <c r="G47" s="15">
        <f>VLOOKUP(Tabela1[[#This Row],[CNAE]],CNAE_GST!A:C,3,FALSE)</f>
        <v>0</v>
      </c>
      <c r="H47" s="35">
        <f>VLOOKUP(Tabela1[[#This Row],[CNAE]],Dependencia_CNAE!A:G,7,FALSE)</f>
        <v>20.100000000000001</v>
      </c>
    </row>
    <row r="48" spans="1:8">
      <c r="A48" s="34" t="s">
        <v>133</v>
      </c>
      <c r="B48" s="16" t="s">
        <v>134</v>
      </c>
      <c r="C48" s="44" t="str">
        <f>VLOOKUP(Tabela1[[#This Row],[CNAE]],'RAIS Vínculos - Bahia 2023-2025'!A:E,3,FALSE)</f>
        <v>5.547</v>
      </c>
      <c r="D48" s="38" t="str">
        <f>VLOOKUP(Tabela1[[#This Row],[CNAE]],'RAIS Estabelecimentos - Bah (2)'!A:E,3,FALSE)</f>
        <v>548</v>
      </c>
      <c r="E48" s="15">
        <f>VLOOKUP(Tabela1[[#This Row],[CNAE]],Complexidade!A:D,4,FALSE)</f>
        <v>-0.14871193882739001</v>
      </c>
      <c r="F48" s="15">
        <f>VLOOKUP(Tabela1[[#This Row],[CNAE]],CNAE_TSB!A:C,3,FALSE)</f>
        <v>0</v>
      </c>
      <c r="G48" s="15">
        <f>VLOOKUP(Tabela1[[#This Row],[CNAE]],CNAE_GST!A:C,3,FALSE)</f>
        <v>0</v>
      </c>
      <c r="H48" s="35">
        <f>VLOOKUP(Tabela1[[#This Row],[CNAE]],Dependencia_CNAE!A:G,7,FALSE)</f>
        <v>1.1499999999999999</v>
      </c>
    </row>
    <row r="49" spans="1:8">
      <c r="A49" s="34" t="s">
        <v>135</v>
      </c>
      <c r="B49" s="14" t="s">
        <v>136</v>
      </c>
      <c r="C49" s="44" t="str">
        <f>VLOOKUP(Tabela1[[#This Row],[CNAE]],'RAIS Vínculos - Bahia 2023-2025'!A:E,3,FALSE)</f>
        <v>320</v>
      </c>
      <c r="D49" s="38" t="str">
        <f>VLOOKUP(Tabela1[[#This Row],[CNAE]],'RAIS Estabelecimentos - Bah (2)'!A:E,3,FALSE)</f>
        <v>8</v>
      </c>
      <c r="E49" s="15">
        <f>VLOOKUP(Tabela1[[#This Row],[CNAE]],Complexidade!A:D,4,FALSE)</f>
        <v>0.734468794976193</v>
      </c>
      <c r="F49" s="15">
        <f>VLOOKUP(Tabela1[[#This Row],[CNAE]],CNAE_TSB!A:C,3,FALSE)</f>
        <v>0</v>
      </c>
      <c r="G49" s="15">
        <f>VLOOKUP(Tabela1[[#This Row],[CNAE]],CNAE_GST!A:C,3,FALSE)</f>
        <v>0</v>
      </c>
      <c r="H49" s="35">
        <f>VLOOKUP(Tabela1[[#This Row],[CNAE]],Dependencia_CNAE!A:G,7,FALSE)</f>
        <v>0</v>
      </c>
    </row>
    <row r="50" spans="1:8">
      <c r="A50" s="34" t="s">
        <v>137</v>
      </c>
      <c r="B50" s="16" t="s">
        <v>138</v>
      </c>
      <c r="C50" s="44" t="str">
        <f>VLOOKUP(Tabela1[[#This Row],[CNAE]],'RAIS Vínculos - Bahia 2023-2025'!A:E,3,FALSE)</f>
        <v>726</v>
      </c>
      <c r="D50" s="38" t="str">
        <f>VLOOKUP(Tabela1[[#This Row],[CNAE]],'RAIS Estabelecimentos - Bah (2)'!A:E,3,FALSE)</f>
        <v>235</v>
      </c>
      <c r="E50" s="15">
        <f>VLOOKUP(Tabela1[[#This Row],[CNAE]],Complexidade!A:D,4,FALSE)</f>
        <v>-0.39130692981634502</v>
      </c>
      <c r="F50" s="15">
        <f>VLOOKUP(Tabela1[[#This Row],[CNAE]],CNAE_TSB!A:C,3,FALSE)</f>
        <v>0</v>
      </c>
      <c r="G50" s="15">
        <f>VLOOKUP(Tabela1[[#This Row],[CNAE]],CNAE_GST!A:C,3,FALSE)</f>
        <v>0</v>
      </c>
      <c r="H50" s="35">
        <f>VLOOKUP(Tabela1[[#This Row],[CNAE]],Dependencia_CNAE!A:G,7,FALSE)</f>
        <v>46.33</v>
      </c>
    </row>
    <row r="51" spans="1:8">
      <c r="A51" s="34" t="s">
        <v>139</v>
      </c>
      <c r="B51" s="14" t="s">
        <v>140</v>
      </c>
      <c r="C51" s="44">
        <f>VLOOKUP(Tabela1[[#This Row],[CNAE]],'RAIS Vínculos - Bahia 2023-2025'!A:E,3,FALSE)</f>
        <v>0</v>
      </c>
      <c r="D51" s="38">
        <f>VLOOKUP(Tabela1[[#This Row],[CNAE]],'RAIS Estabelecimentos - Bah (2)'!A:E,3,FALSE)</f>
        <v>0</v>
      </c>
      <c r="E51" s="15">
        <f>VLOOKUP(Tabela1[[#This Row],[CNAE]],Complexidade!A:D,4,FALSE)</f>
        <v>1.6797948106137599</v>
      </c>
      <c r="F51" s="15">
        <f>VLOOKUP(Tabela1[[#This Row],[CNAE]],CNAE_TSB!A:C,3,FALSE)</f>
        <v>0</v>
      </c>
      <c r="G51" s="15">
        <f>VLOOKUP(Tabela1[[#This Row],[CNAE]],CNAE_GST!A:C,3,FALSE)</f>
        <v>0</v>
      </c>
      <c r="H51" s="35">
        <f>VLOOKUP(Tabela1[[#This Row],[CNAE]],Dependencia_CNAE!A:G,7,FALSE)</f>
        <v>99.91</v>
      </c>
    </row>
    <row r="52" spans="1:8">
      <c r="A52" s="34" t="s">
        <v>141</v>
      </c>
      <c r="B52" s="16" t="s">
        <v>142</v>
      </c>
      <c r="C52" s="44" t="str">
        <f>VLOOKUP(Tabela1[[#This Row],[CNAE]],'RAIS Vínculos - Bahia 2023-2025'!A:E,3,FALSE)</f>
        <v>3.505</v>
      </c>
      <c r="D52" s="38" t="str">
        <f>VLOOKUP(Tabela1[[#This Row],[CNAE]],'RAIS Estabelecimentos - Bah (2)'!A:E,3,FALSE)</f>
        <v>237</v>
      </c>
      <c r="E52" s="15">
        <f>VLOOKUP(Tabela1[[#This Row],[CNAE]],Complexidade!A:D,4,FALSE)</f>
        <v>0.68397024315406596</v>
      </c>
      <c r="F52" s="15">
        <f>VLOOKUP(Tabela1[[#This Row],[CNAE]],CNAE_TSB!A:C,3,FALSE)</f>
        <v>0</v>
      </c>
      <c r="G52" s="15">
        <f>VLOOKUP(Tabela1[[#This Row],[CNAE]],CNAE_GST!A:C,3,FALSE)</f>
        <v>0</v>
      </c>
      <c r="H52" s="35">
        <f>VLOOKUP(Tabela1[[#This Row],[CNAE]],Dependencia_CNAE!A:G,7,FALSE)</f>
        <v>48.06</v>
      </c>
    </row>
    <row r="53" spans="1:8">
      <c r="A53" s="34" t="s">
        <v>143</v>
      </c>
      <c r="B53" s="14" t="s">
        <v>144</v>
      </c>
      <c r="C53" s="44" t="str">
        <f>VLOOKUP(Tabela1[[#This Row],[CNAE]],'RAIS Vínculos - Bahia 2023-2025'!A:E,3,FALSE)</f>
        <v>146</v>
      </c>
      <c r="D53" s="38" t="str">
        <f>VLOOKUP(Tabela1[[#This Row],[CNAE]],'RAIS Estabelecimentos - Bah (2)'!A:E,3,FALSE)</f>
        <v>10</v>
      </c>
      <c r="E53" s="15">
        <f>VLOOKUP(Tabela1[[#This Row],[CNAE]],Complexidade!A:D,4,FALSE)</f>
        <v>1.5086295326800201</v>
      </c>
      <c r="F53" s="15">
        <f>VLOOKUP(Tabela1[[#This Row],[CNAE]],CNAE_TSB!A:C,3,FALSE)</f>
        <v>0</v>
      </c>
      <c r="G53" s="15">
        <f>VLOOKUP(Tabela1[[#This Row],[CNAE]],CNAE_GST!A:C,3,FALSE)</f>
        <v>1</v>
      </c>
      <c r="H53" s="35">
        <f>VLOOKUP(Tabela1[[#This Row],[CNAE]],Dependencia_CNAE!A:G,7,FALSE)</f>
        <v>35.450000000000003</v>
      </c>
    </row>
    <row r="54" spans="1:8">
      <c r="A54" s="34" t="s">
        <v>145</v>
      </c>
      <c r="B54" s="16" t="s">
        <v>146</v>
      </c>
      <c r="C54" s="44" t="str">
        <f>VLOOKUP(Tabela1[[#This Row],[CNAE]],'RAIS Vínculos - Bahia 2023-2025'!A:E,3,FALSE)</f>
        <v>920</v>
      </c>
      <c r="D54" s="38" t="str">
        <f>VLOOKUP(Tabela1[[#This Row],[CNAE]],'RAIS Estabelecimentos - Bah (2)'!A:E,3,FALSE)</f>
        <v>22</v>
      </c>
      <c r="E54" s="15">
        <f>VLOOKUP(Tabela1[[#This Row],[CNAE]],Complexidade!A:D,4,FALSE)</f>
        <v>1.6620569210607199</v>
      </c>
      <c r="F54" s="15">
        <f>VLOOKUP(Tabela1[[#This Row],[CNAE]],CNAE_TSB!A:C,3,FALSE)</f>
        <v>0</v>
      </c>
      <c r="G54" s="15">
        <f>VLOOKUP(Tabela1[[#This Row],[CNAE]],CNAE_GST!A:C,3,FALSE)</f>
        <v>0</v>
      </c>
      <c r="H54" s="35">
        <f>VLOOKUP(Tabela1[[#This Row],[CNAE]],Dependencia_CNAE!A:G,7,FALSE)</f>
        <v>14.31</v>
      </c>
    </row>
    <row r="55" spans="1:8">
      <c r="A55" s="34" t="s">
        <v>147</v>
      </c>
      <c r="B55" s="14" t="s">
        <v>148</v>
      </c>
      <c r="C55" s="44" t="str">
        <f>VLOOKUP(Tabela1[[#This Row],[CNAE]],'RAIS Vínculos - Bahia 2023-2025'!A:E,3,FALSE)</f>
        <v>109</v>
      </c>
      <c r="D55" s="38" t="str">
        <f>VLOOKUP(Tabela1[[#This Row],[CNAE]],'RAIS Estabelecimentos - Bah (2)'!A:E,3,FALSE)</f>
        <v>5</v>
      </c>
      <c r="E55" s="15">
        <f>VLOOKUP(Tabela1[[#This Row],[CNAE]],Complexidade!A:D,4,FALSE)</f>
        <v>1.83100953320421</v>
      </c>
      <c r="F55" s="15">
        <f>VLOOKUP(Tabela1[[#This Row],[CNAE]],CNAE_TSB!A:C,3,FALSE)</f>
        <v>0</v>
      </c>
      <c r="G55" s="15">
        <f>VLOOKUP(Tabela1[[#This Row],[CNAE]],CNAE_GST!A:C,3,FALSE)</f>
        <v>0</v>
      </c>
      <c r="H55" s="35">
        <f>VLOOKUP(Tabela1[[#This Row],[CNAE]],Dependencia_CNAE!A:G,7,FALSE)</f>
        <v>89.09</v>
      </c>
    </row>
    <row r="56" spans="1:8">
      <c r="A56" s="34" t="s">
        <v>149</v>
      </c>
      <c r="B56" s="16" t="s">
        <v>150</v>
      </c>
      <c r="C56" s="44" t="str">
        <f>VLOOKUP(Tabela1[[#This Row],[CNAE]],'RAIS Vínculos - Bahia 2023-2025'!A:E,3,FALSE)</f>
        <v>348</v>
      </c>
      <c r="D56" s="38" t="str">
        <f>VLOOKUP(Tabela1[[#This Row],[CNAE]],'RAIS Estabelecimentos - Bah (2)'!A:E,3,FALSE)</f>
        <v>14</v>
      </c>
      <c r="E56" s="15">
        <f>VLOOKUP(Tabela1[[#This Row],[CNAE]],Complexidade!A:D,4,FALSE)</f>
        <v>0.87786276843897404</v>
      </c>
      <c r="F56" s="15">
        <f>VLOOKUP(Tabela1[[#This Row],[CNAE]],CNAE_TSB!A:C,3,FALSE)</f>
        <v>0</v>
      </c>
      <c r="G56" s="15">
        <f>VLOOKUP(Tabela1[[#This Row],[CNAE]],CNAE_GST!A:C,3,FALSE)</f>
        <v>0</v>
      </c>
      <c r="H56" s="35">
        <f>VLOOKUP(Tabela1[[#This Row],[CNAE]],Dependencia_CNAE!A:G,7,FALSE)</f>
        <v>68.09</v>
      </c>
    </row>
    <row r="57" spans="1:8">
      <c r="A57" s="34" t="s">
        <v>151</v>
      </c>
      <c r="B57" s="14" t="s">
        <v>152</v>
      </c>
      <c r="C57" s="44" t="str">
        <f>VLOOKUP(Tabela1[[#This Row],[CNAE]],'RAIS Vínculos - Bahia 2023-2025'!A:E,3,FALSE)</f>
        <v>166</v>
      </c>
      <c r="D57" s="38" t="str">
        <f>VLOOKUP(Tabela1[[#This Row],[CNAE]],'RAIS Estabelecimentos - Bah (2)'!A:E,3,FALSE)</f>
        <v>7</v>
      </c>
      <c r="E57" s="15">
        <f>VLOOKUP(Tabela1[[#This Row],[CNAE]],Complexidade!A:D,4,FALSE)</f>
        <v>1.5639176964079899</v>
      </c>
      <c r="F57" s="15">
        <f>VLOOKUP(Tabela1[[#This Row],[CNAE]],CNAE_TSB!A:C,3,FALSE)</f>
        <v>0</v>
      </c>
      <c r="G57" s="15">
        <f>VLOOKUP(Tabela1[[#This Row],[CNAE]],CNAE_GST!A:C,3,FALSE)</f>
        <v>0</v>
      </c>
      <c r="H57" s="35">
        <f>VLOOKUP(Tabela1[[#This Row],[CNAE]],Dependencia_CNAE!A:G,7,FALSE)</f>
        <v>86</v>
      </c>
    </row>
    <row r="58" spans="1:8">
      <c r="A58" s="34" t="s">
        <v>153</v>
      </c>
      <c r="B58" s="16" t="s">
        <v>154</v>
      </c>
      <c r="C58" s="44" t="str">
        <f>VLOOKUP(Tabela1[[#This Row],[CNAE]],'RAIS Vínculos - Bahia 2023-2025'!A:E,3,FALSE)</f>
        <v>24</v>
      </c>
      <c r="D58" s="38" t="str">
        <f>VLOOKUP(Tabela1[[#This Row],[CNAE]],'RAIS Estabelecimentos - Bah (2)'!A:E,3,FALSE)</f>
        <v>2</v>
      </c>
      <c r="E58" s="15">
        <f>VLOOKUP(Tabela1[[#This Row],[CNAE]],Complexidade!A:D,4,FALSE)</f>
        <v>1.7380670239017399</v>
      </c>
      <c r="F58" s="15">
        <f>VLOOKUP(Tabela1[[#This Row],[CNAE]],CNAE_TSB!A:C,3,FALSE)</f>
        <v>0</v>
      </c>
      <c r="G58" s="15">
        <f>VLOOKUP(Tabela1[[#This Row],[CNAE]],CNAE_GST!A:C,3,FALSE)</f>
        <v>1</v>
      </c>
      <c r="H58" s="35">
        <f>VLOOKUP(Tabela1[[#This Row],[CNAE]],Dependencia_CNAE!A:G,7,FALSE)</f>
        <v>98.06</v>
      </c>
    </row>
    <row r="59" spans="1:8">
      <c r="A59" s="34" t="s">
        <v>155</v>
      </c>
      <c r="B59" s="14" t="s">
        <v>156</v>
      </c>
      <c r="C59" s="44" t="str">
        <f>VLOOKUP(Tabela1[[#This Row],[CNAE]],'RAIS Vínculos - Bahia 2023-2025'!A:E,3,FALSE)</f>
        <v>6</v>
      </c>
      <c r="D59" s="38" t="str">
        <f>VLOOKUP(Tabela1[[#This Row],[CNAE]],'RAIS Estabelecimentos - Bah (2)'!A:E,3,FALSE)</f>
        <v>2</v>
      </c>
      <c r="E59" s="15">
        <f>VLOOKUP(Tabela1[[#This Row],[CNAE]],Complexidade!A:D,4,FALSE)</f>
        <v>1.6311797704300799</v>
      </c>
      <c r="F59" s="15">
        <f>VLOOKUP(Tabela1[[#This Row],[CNAE]],CNAE_TSB!A:C,3,FALSE)</f>
        <v>0</v>
      </c>
      <c r="G59" s="15">
        <f>VLOOKUP(Tabela1[[#This Row],[CNAE]],CNAE_GST!A:C,3,FALSE)</f>
        <v>0</v>
      </c>
      <c r="H59" s="35">
        <f>VLOOKUP(Tabela1[[#This Row],[CNAE]],Dependencia_CNAE!A:G,7,FALSE)</f>
        <v>54.08</v>
      </c>
    </row>
    <row r="60" spans="1:8">
      <c r="A60" s="34" t="s">
        <v>157</v>
      </c>
      <c r="B60" s="16" t="s">
        <v>158</v>
      </c>
      <c r="C60" s="44" t="str">
        <f>VLOOKUP(Tabela1[[#This Row],[CNAE]],'RAIS Vínculos - Bahia 2023-2025'!A:E,3,FALSE)</f>
        <v>4</v>
      </c>
      <c r="D60" s="38" t="str">
        <f>VLOOKUP(Tabela1[[#This Row],[CNAE]],'RAIS Estabelecimentos - Bah (2)'!A:E,3,FALSE)</f>
        <v>1</v>
      </c>
      <c r="E60" s="15">
        <f>VLOOKUP(Tabela1[[#This Row],[CNAE]],Complexidade!A:D,4,FALSE)</f>
        <v>1.71080530683223</v>
      </c>
      <c r="F60" s="15">
        <f>VLOOKUP(Tabela1[[#This Row],[CNAE]],CNAE_TSB!A:C,3,FALSE)</f>
        <v>0</v>
      </c>
      <c r="G60" s="15">
        <f>VLOOKUP(Tabela1[[#This Row],[CNAE]],CNAE_GST!A:C,3,FALSE)</f>
        <v>0</v>
      </c>
      <c r="H60" s="35">
        <f>VLOOKUP(Tabela1[[#This Row],[CNAE]],Dependencia_CNAE!A:G,7,FALSE)</f>
        <v>0</v>
      </c>
    </row>
    <row r="61" spans="1:8">
      <c r="A61" s="34" t="s">
        <v>159</v>
      </c>
      <c r="B61" s="14" t="s">
        <v>160</v>
      </c>
      <c r="C61" s="44" t="str">
        <f>VLOOKUP(Tabela1[[#This Row],[CNAE]],'RAIS Vínculos - Bahia 2023-2025'!A:E,3,FALSE)</f>
        <v>585</v>
      </c>
      <c r="D61" s="38" t="str">
        <f>VLOOKUP(Tabela1[[#This Row],[CNAE]],'RAIS Estabelecimentos - Bah (2)'!A:E,3,FALSE)</f>
        <v>31</v>
      </c>
      <c r="E61" s="15">
        <f>VLOOKUP(Tabela1[[#This Row],[CNAE]],Complexidade!A:D,4,FALSE)</f>
        <v>0.58974036638070904</v>
      </c>
      <c r="F61" s="15">
        <f>VLOOKUP(Tabela1[[#This Row],[CNAE]],CNAE_TSB!A:C,3,FALSE)</f>
        <v>0</v>
      </c>
      <c r="G61" s="15">
        <f>VLOOKUP(Tabela1[[#This Row],[CNAE]],CNAE_GST!A:C,3,FALSE)</f>
        <v>0</v>
      </c>
      <c r="H61" s="35">
        <f>VLOOKUP(Tabela1[[#This Row],[CNAE]],Dependencia_CNAE!A:G,7,FALSE)</f>
        <v>95.93</v>
      </c>
    </row>
    <row r="62" spans="1:8">
      <c r="A62" s="34" t="s">
        <v>161</v>
      </c>
      <c r="B62" s="16" t="s">
        <v>162</v>
      </c>
      <c r="C62" s="44" t="str">
        <f>VLOOKUP(Tabela1[[#This Row],[CNAE]],'RAIS Vínculos - Bahia 2023-2025'!A:E,3,FALSE)</f>
        <v>7</v>
      </c>
      <c r="D62" s="38" t="str">
        <f>VLOOKUP(Tabela1[[#This Row],[CNAE]],'RAIS Estabelecimentos - Bah (2)'!A:E,3,FALSE)</f>
        <v>1</v>
      </c>
      <c r="E62" s="15">
        <f>VLOOKUP(Tabela1[[#This Row],[CNAE]],Complexidade!A:D,4,FALSE)</f>
        <v>1.0172546807548</v>
      </c>
      <c r="F62" s="15">
        <f>VLOOKUP(Tabela1[[#This Row],[CNAE]],CNAE_TSB!A:C,3,FALSE)</f>
        <v>0</v>
      </c>
      <c r="G62" s="15">
        <f>VLOOKUP(Tabela1[[#This Row],[CNAE]],CNAE_GST!A:C,3,FALSE)</f>
        <v>1</v>
      </c>
      <c r="H62" s="35">
        <f>VLOOKUP(Tabela1[[#This Row],[CNAE]],Dependencia_CNAE!A:G,7,FALSE)</f>
        <v>11.95</v>
      </c>
    </row>
    <row r="63" spans="1:8">
      <c r="A63" s="34" t="s">
        <v>163</v>
      </c>
      <c r="B63" s="14" t="s">
        <v>164</v>
      </c>
      <c r="C63" s="44" t="str">
        <f>VLOOKUP(Tabela1[[#This Row],[CNAE]],'RAIS Vínculos - Bahia 2023-2025'!A:E,3,FALSE)</f>
        <v>493</v>
      </c>
      <c r="D63" s="38" t="str">
        <f>VLOOKUP(Tabela1[[#This Row],[CNAE]],'RAIS Estabelecimentos - Bah (2)'!A:E,3,FALSE)</f>
        <v>43</v>
      </c>
      <c r="E63" s="15">
        <f>VLOOKUP(Tabela1[[#This Row],[CNAE]],Complexidade!A:D,4,FALSE)</f>
        <v>1.2121876875098501</v>
      </c>
      <c r="F63" s="15">
        <f>VLOOKUP(Tabela1[[#This Row],[CNAE]],CNAE_TSB!A:C,3,FALSE)</f>
        <v>0</v>
      </c>
      <c r="G63" s="15">
        <f>VLOOKUP(Tabela1[[#This Row],[CNAE]],CNAE_GST!A:C,3,FALSE)</f>
        <v>0</v>
      </c>
      <c r="H63" s="35">
        <f>VLOOKUP(Tabela1[[#This Row],[CNAE]],Dependencia_CNAE!A:G,7,FALSE)</f>
        <v>64.930000000000007</v>
      </c>
    </row>
    <row r="64" spans="1:8">
      <c r="A64" s="34" t="s">
        <v>165</v>
      </c>
      <c r="B64" s="16" t="s">
        <v>166</v>
      </c>
      <c r="C64" s="44" t="str">
        <f>VLOOKUP(Tabela1[[#This Row],[CNAE]],'RAIS Vínculos - Bahia 2023-2025'!A:E,3,FALSE)</f>
        <v>450</v>
      </c>
      <c r="D64" s="38" t="str">
        <f>VLOOKUP(Tabela1[[#This Row],[CNAE]],'RAIS Estabelecimentos - Bah (2)'!A:E,3,FALSE)</f>
        <v>10</v>
      </c>
      <c r="E64" s="15">
        <f>VLOOKUP(Tabela1[[#This Row],[CNAE]],Complexidade!A:D,4,FALSE)</f>
        <v>1.47482984956313</v>
      </c>
      <c r="F64" s="15">
        <f>VLOOKUP(Tabela1[[#This Row],[CNAE]],CNAE_TSB!A:C,3,FALSE)</f>
        <v>0</v>
      </c>
      <c r="G64" s="15">
        <f>VLOOKUP(Tabela1[[#This Row],[CNAE]],CNAE_GST!A:C,3,FALSE)</f>
        <v>0</v>
      </c>
      <c r="H64" s="35">
        <f>VLOOKUP(Tabela1[[#This Row],[CNAE]],Dependencia_CNAE!A:G,7,FALSE)</f>
        <v>28.09</v>
      </c>
    </row>
    <row r="65" spans="1:8">
      <c r="A65" s="34" t="s">
        <v>167</v>
      </c>
      <c r="B65" s="14" t="s">
        <v>168</v>
      </c>
      <c r="C65" s="44" t="str">
        <f>VLOOKUP(Tabela1[[#This Row],[CNAE]],'RAIS Vínculos - Bahia 2023-2025'!A:E,3,FALSE)</f>
        <v>5.869</v>
      </c>
      <c r="D65" s="38" t="str">
        <f>VLOOKUP(Tabela1[[#This Row],[CNAE]],'RAIS Estabelecimentos - Bah (2)'!A:E,3,FALSE)</f>
        <v>10</v>
      </c>
      <c r="E65" s="15">
        <f>VLOOKUP(Tabela1[[#This Row],[CNAE]],Complexidade!A:D,4,FALSE)</f>
        <v>1.0493767132354701</v>
      </c>
      <c r="F65" s="15">
        <f>VLOOKUP(Tabela1[[#This Row],[CNAE]],CNAE_TSB!A:C,3,FALSE)</f>
        <v>0</v>
      </c>
      <c r="G65" s="15">
        <f>VLOOKUP(Tabela1[[#This Row],[CNAE]],CNAE_GST!A:C,3,FALSE)</f>
        <v>0</v>
      </c>
      <c r="H65" s="35">
        <f>VLOOKUP(Tabela1[[#This Row],[CNAE]],Dependencia_CNAE!A:G,7,FALSE)</f>
        <v>67.069999999999993</v>
      </c>
    </row>
    <row r="66" spans="1:8">
      <c r="A66" s="34" t="s">
        <v>169</v>
      </c>
      <c r="B66" s="16" t="s">
        <v>170</v>
      </c>
      <c r="C66" s="44" t="str">
        <f>VLOOKUP(Tabela1[[#This Row],[CNAE]],'RAIS Vínculos - Bahia 2023-2025'!A:E,3,FALSE)</f>
        <v>695</v>
      </c>
      <c r="D66" s="38" t="str">
        <f>VLOOKUP(Tabela1[[#This Row],[CNAE]],'RAIS Estabelecimentos - Bah (2)'!A:E,3,FALSE)</f>
        <v>17</v>
      </c>
      <c r="E66" s="15">
        <f>VLOOKUP(Tabela1[[#This Row],[CNAE]],Complexidade!A:D,4,FALSE)</f>
        <v>1.2945294076193301</v>
      </c>
      <c r="F66" s="15">
        <f>VLOOKUP(Tabela1[[#This Row],[CNAE]],CNAE_TSB!A:C,3,FALSE)</f>
        <v>0</v>
      </c>
      <c r="G66" s="15">
        <f>VLOOKUP(Tabela1[[#This Row],[CNAE]],CNAE_GST!A:C,3,FALSE)</f>
        <v>0</v>
      </c>
      <c r="H66" s="35">
        <f>VLOOKUP(Tabela1[[#This Row],[CNAE]],Dependencia_CNAE!A:G,7,FALSE)</f>
        <v>0.33</v>
      </c>
    </row>
    <row r="67" spans="1:8">
      <c r="A67" s="34" t="s">
        <v>171</v>
      </c>
      <c r="B67" s="14" t="s">
        <v>172</v>
      </c>
      <c r="C67" s="44" t="str">
        <f>VLOOKUP(Tabela1[[#This Row],[CNAE]],'RAIS Vínculos - Bahia 2023-2025'!A:E,3,FALSE)</f>
        <v>938</v>
      </c>
      <c r="D67" s="38" t="str">
        <f>VLOOKUP(Tabela1[[#This Row],[CNAE]],'RAIS Estabelecimentos - Bah (2)'!A:E,3,FALSE)</f>
        <v>32</v>
      </c>
      <c r="E67" s="15">
        <f>VLOOKUP(Tabela1[[#This Row],[CNAE]],Complexidade!A:D,4,FALSE)</f>
        <v>1.1213543898766001</v>
      </c>
      <c r="F67" s="15">
        <f>VLOOKUP(Tabela1[[#This Row],[CNAE]],CNAE_TSB!A:C,3,FALSE)</f>
        <v>0</v>
      </c>
      <c r="G67" s="15">
        <f>VLOOKUP(Tabela1[[#This Row],[CNAE]],CNAE_GST!A:C,3,FALSE)</f>
        <v>0</v>
      </c>
      <c r="H67" s="35">
        <f>VLOOKUP(Tabela1[[#This Row],[CNAE]],Dependencia_CNAE!A:G,7,FALSE)</f>
        <v>76.34</v>
      </c>
    </row>
    <row r="68" spans="1:8">
      <c r="A68" s="34" t="s">
        <v>173</v>
      </c>
      <c r="B68" s="16" t="s">
        <v>174</v>
      </c>
      <c r="C68" s="44" t="str">
        <f>VLOOKUP(Tabela1[[#This Row],[CNAE]],'RAIS Vínculos - Bahia 2023-2025'!A:E,3,FALSE)</f>
        <v>491</v>
      </c>
      <c r="D68" s="38" t="str">
        <f>VLOOKUP(Tabela1[[#This Row],[CNAE]],'RAIS Estabelecimentos - Bah (2)'!A:E,3,FALSE)</f>
        <v>35</v>
      </c>
      <c r="E68" s="15">
        <f>VLOOKUP(Tabela1[[#This Row],[CNAE]],Complexidade!A:D,4,FALSE)</f>
        <v>1.03203876952469</v>
      </c>
      <c r="F68" s="15">
        <f>VLOOKUP(Tabela1[[#This Row],[CNAE]],CNAE_TSB!A:C,3,FALSE)</f>
        <v>0</v>
      </c>
      <c r="G68" s="15">
        <f>VLOOKUP(Tabela1[[#This Row],[CNAE]],CNAE_GST!A:C,3,FALSE)</f>
        <v>0</v>
      </c>
      <c r="H68" s="35">
        <f>VLOOKUP(Tabela1[[#This Row],[CNAE]],Dependencia_CNAE!A:G,7,FALSE)</f>
        <v>81.05</v>
      </c>
    </row>
    <row r="69" spans="1:8">
      <c r="A69" s="34" t="s">
        <v>175</v>
      </c>
      <c r="B69" s="14" t="s">
        <v>176</v>
      </c>
      <c r="C69" s="44" t="str">
        <f>VLOOKUP(Tabela1[[#This Row],[CNAE]],'RAIS Vínculos - Bahia 2023-2025'!A:E,3,FALSE)</f>
        <v>337</v>
      </c>
      <c r="D69" s="38" t="str">
        <f>VLOOKUP(Tabela1[[#This Row],[CNAE]],'RAIS Estabelecimentos - Bah (2)'!A:E,3,FALSE)</f>
        <v>35</v>
      </c>
      <c r="E69" s="15">
        <f>VLOOKUP(Tabela1[[#This Row],[CNAE]],Complexidade!A:D,4,FALSE)</f>
        <v>5.9000597535376897E-2</v>
      </c>
      <c r="F69" s="15">
        <f>VLOOKUP(Tabela1[[#This Row],[CNAE]],CNAE_TSB!A:C,3,FALSE)</f>
        <v>0</v>
      </c>
      <c r="G69" s="15">
        <f>VLOOKUP(Tabela1[[#This Row],[CNAE]],CNAE_GST!A:C,3,FALSE)</f>
        <v>0</v>
      </c>
      <c r="H69" s="35">
        <f>VLOOKUP(Tabela1[[#This Row],[CNAE]],Dependencia_CNAE!A:G,7,FALSE)</f>
        <v>72.36</v>
      </c>
    </row>
    <row r="70" spans="1:8">
      <c r="A70" s="34" t="s">
        <v>177</v>
      </c>
      <c r="B70" s="16" t="s">
        <v>178</v>
      </c>
      <c r="C70" s="44" t="str">
        <f>VLOOKUP(Tabela1[[#This Row],[CNAE]],'RAIS Vínculos - Bahia 2023-2025'!A:E,3,FALSE)</f>
        <v>127</v>
      </c>
      <c r="D70" s="38" t="str">
        <f>VLOOKUP(Tabela1[[#This Row],[CNAE]],'RAIS Estabelecimentos - Bah (2)'!A:E,3,FALSE)</f>
        <v>11</v>
      </c>
      <c r="E70" s="15">
        <f>VLOOKUP(Tabela1[[#This Row],[CNAE]],Complexidade!A:D,4,FALSE)</f>
        <v>1.1285512424450601</v>
      </c>
      <c r="F70" s="15">
        <f>VLOOKUP(Tabela1[[#This Row],[CNAE]],CNAE_TSB!A:C,3,FALSE)</f>
        <v>0</v>
      </c>
      <c r="G70" s="15">
        <f>VLOOKUP(Tabela1[[#This Row],[CNAE]],CNAE_GST!A:C,3,FALSE)</f>
        <v>0</v>
      </c>
      <c r="H70" s="35">
        <f>VLOOKUP(Tabela1[[#This Row],[CNAE]],Dependencia_CNAE!A:G,7,FALSE)</f>
        <v>94.53</v>
      </c>
    </row>
    <row r="71" spans="1:8">
      <c r="A71" s="34" t="s">
        <v>179</v>
      </c>
      <c r="B71" s="14" t="s">
        <v>180</v>
      </c>
      <c r="C71" s="44" t="str">
        <f>VLOOKUP(Tabela1[[#This Row],[CNAE]],'RAIS Vínculos - Bahia 2023-2025'!A:E,3,FALSE)</f>
        <v>619</v>
      </c>
      <c r="D71" s="38" t="str">
        <f>VLOOKUP(Tabela1[[#This Row],[CNAE]],'RAIS Estabelecimentos - Bah (2)'!A:E,3,FALSE)</f>
        <v>8</v>
      </c>
      <c r="E71" s="15">
        <f>VLOOKUP(Tabela1[[#This Row],[CNAE]],Complexidade!A:D,4,FALSE)</f>
        <v>1.31599392122109</v>
      </c>
      <c r="F71" s="15">
        <f>VLOOKUP(Tabela1[[#This Row],[CNAE]],CNAE_TSB!A:C,3,FALSE)</f>
        <v>0</v>
      </c>
      <c r="G71" s="15">
        <f>VLOOKUP(Tabela1[[#This Row],[CNAE]],CNAE_GST!A:C,3,FALSE)</f>
        <v>0</v>
      </c>
      <c r="H71" s="35">
        <f>VLOOKUP(Tabela1[[#This Row],[CNAE]],Dependencia_CNAE!A:G,7,FALSE)</f>
        <v>7.55</v>
      </c>
    </row>
    <row r="72" spans="1:8">
      <c r="A72" s="34" t="s">
        <v>181</v>
      </c>
      <c r="B72" s="16" t="s">
        <v>182</v>
      </c>
      <c r="C72" s="44" t="str">
        <f>VLOOKUP(Tabela1[[#This Row],[CNAE]],'RAIS Vínculos - Bahia 2023-2025'!A:E,3,FALSE)</f>
        <v>311</v>
      </c>
      <c r="D72" s="38" t="str">
        <f>VLOOKUP(Tabela1[[#This Row],[CNAE]],'RAIS Estabelecimentos - Bah (2)'!A:E,3,FALSE)</f>
        <v>37</v>
      </c>
      <c r="E72" s="15">
        <f>VLOOKUP(Tabela1[[#This Row],[CNAE]],Complexidade!A:D,4,FALSE)</f>
        <v>0.93088786114534805</v>
      </c>
      <c r="F72" s="15">
        <f>VLOOKUP(Tabela1[[#This Row],[CNAE]],CNAE_TSB!A:C,3,FALSE)</f>
        <v>0</v>
      </c>
      <c r="G72" s="15">
        <f>VLOOKUP(Tabela1[[#This Row],[CNAE]],CNAE_GST!A:C,3,FALSE)</f>
        <v>0</v>
      </c>
      <c r="H72" s="35">
        <f>VLOOKUP(Tabela1[[#This Row],[CNAE]],Dependencia_CNAE!A:G,7,FALSE)</f>
        <v>98.71</v>
      </c>
    </row>
    <row r="73" spans="1:8">
      <c r="A73" s="34" t="s">
        <v>183</v>
      </c>
      <c r="B73" s="14" t="s">
        <v>184</v>
      </c>
      <c r="C73" s="44" t="str">
        <f>VLOOKUP(Tabela1[[#This Row],[CNAE]],'RAIS Vínculos - Bahia 2023-2025'!A:E,3,FALSE)</f>
        <v>2.102</v>
      </c>
      <c r="D73" s="38" t="str">
        <f>VLOOKUP(Tabela1[[#This Row],[CNAE]],'RAIS Estabelecimentos - Bah (2)'!A:E,3,FALSE)</f>
        <v>1</v>
      </c>
      <c r="E73" s="15">
        <f>VLOOKUP(Tabela1[[#This Row],[CNAE]],Complexidade!A:D,4,FALSE)</f>
        <v>1.9744109997252499</v>
      </c>
      <c r="F73" s="15">
        <f>VLOOKUP(Tabela1[[#This Row],[CNAE]],CNAE_TSB!A:C,3,FALSE)</f>
        <v>0</v>
      </c>
      <c r="G73" s="15">
        <f>VLOOKUP(Tabela1[[#This Row],[CNAE]],CNAE_GST!A:C,3,FALSE)</f>
        <v>0</v>
      </c>
      <c r="H73" s="35">
        <f>VLOOKUP(Tabela1[[#This Row],[CNAE]],Dependencia_CNAE!A:G,7,FALSE)</f>
        <v>51.5</v>
      </c>
    </row>
    <row r="74" spans="1:8">
      <c r="A74" s="34" t="s">
        <v>185</v>
      </c>
      <c r="B74" s="16" t="s">
        <v>186</v>
      </c>
      <c r="C74" s="44">
        <f>VLOOKUP(Tabela1[[#This Row],[CNAE]],'RAIS Vínculos - Bahia 2023-2025'!A:E,3,FALSE)</f>
        <v>0</v>
      </c>
      <c r="D74" s="38">
        <f>VLOOKUP(Tabela1[[#This Row],[CNAE]],'RAIS Estabelecimentos - Bah (2)'!A:E,3,FALSE)</f>
        <v>0</v>
      </c>
      <c r="E74" s="15">
        <f>VLOOKUP(Tabela1[[#This Row],[CNAE]],Complexidade!A:D,4,FALSE)</f>
        <v>2.1767486047532199</v>
      </c>
      <c r="F74" s="15">
        <f>VLOOKUP(Tabela1[[#This Row],[CNAE]],CNAE_TSB!A:C,3,FALSE)</f>
        <v>0</v>
      </c>
      <c r="G74" s="15">
        <f>VLOOKUP(Tabela1[[#This Row],[CNAE]],CNAE_GST!A:C,3,FALSE)</f>
        <v>0</v>
      </c>
      <c r="H74" s="35">
        <f>VLOOKUP(Tabela1[[#This Row],[CNAE]],Dependencia_CNAE!A:G,7,FALSE)</f>
        <v>76.13</v>
      </c>
    </row>
    <row r="75" spans="1:8">
      <c r="A75" s="34" t="s">
        <v>187</v>
      </c>
      <c r="B75" s="14" t="s">
        <v>188</v>
      </c>
      <c r="C75" s="44" t="str">
        <f>VLOOKUP(Tabela1[[#This Row],[CNAE]],'RAIS Vínculos - Bahia 2023-2025'!A:E,3,FALSE)</f>
        <v>720</v>
      </c>
      <c r="D75" s="38" t="str">
        <f>VLOOKUP(Tabela1[[#This Row],[CNAE]],'RAIS Estabelecimentos - Bah (2)'!A:E,3,FALSE)</f>
        <v>77</v>
      </c>
      <c r="E75" s="15">
        <f>VLOOKUP(Tabela1[[#This Row],[CNAE]],Complexidade!A:D,4,FALSE)</f>
        <v>0.37706585171553297</v>
      </c>
      <c r="F75" s="15">
        <f>VLOOKUP(Tabela1[[#This Row],[CNAE]],CNAE_TSB!A:C,3,FALSE)</f>
        <v>0</v>
      </c>
      <c r="G75" s="15">
        <f>VLOOKUP(Tabela1[[#This Row],[CNAE]],CNAE_GST!A:C,3,FALSE)</f>
        <v>0</v>
      </c>
      <c r="H75" s="35">
        <f>VLOOKUP(Tabela1[[#This Row],[CNAE]],Dependencia_CNAE!A:G,7,FALSE)</f>
        <v>96.42</v>
      </c>
    </row>
    <row r="76" spans="1:8">
      <c r="A76" s="34" t="s">
        <v>189</v>
      </c>
      <c r="B76" s="16" t="s">
        <v>190</v>
      </c>
      <c r="C76" s="44" t="str">
        <f>VLOOKUP(Tabela1[[#This Row],[CNAE]],'RAIS Vínculos - Bahia 2023-2025'!A:E,3,FALSE)</f>
        <v>233</v>
      </c>
      <c r="D76" s="38" t="str">
        <f>VLOOKUP(Tabela1[[#This Row],[CNAE]],'RAIS Estabelecimentos - Bah (2)'!A:E,3,FALSE)</f>
        <v>35</v>
      </c>
      <c r="E76" s="15">
        <f>VLOOKUP(Tabela1[[#This Row],[CNAE]],Complexidade!A:D,4,FALSE)</f>
        <v>1.4026427163561701</v>
      </c>
      <c r="F76" s="15">
        <f>VLOOKUP(Tabela1[[#This Row],[CNAE]],CNAE_TSB!A:C,3,FALSE)</f>
        <v>0</v>
      </c>
      <c r="G76" s="15">
        <f>VLOOKUP(Tabela1[[#This Row],[CNAE]],CNAE_GST!A:C,3,FALSE)</f>
        <v>0</v>
      </c>
      <c r="H76" s="35">
        <f>VLOOKUP(Tabela1[[#This Row],[CNAE]],Dependencia_CNAE!A:G,7,FALSE)</f>
        <v>18.760000000000002</v>
      </c>
    </row>
    <row r="77" spans="1:8">
      <c r="A77" s="34" t="s">
        <v>191</v>
      </c>
      <c r="B77" s="14" t="s">
        <v>192</v>
      </c>
      <c r="C77" s="44" t="str">
        <f>VLOOKUP(Tabela1[[#This Row],[CNAE]],'RAIS Vínculos - Bahia 2023-2025'!A:E,3,FALSE)</f>
        <v>961</v>
      </c>
      <c r="D77" s="38" t="str">
        <f>VLOOKUP(Tabela1[[#This Row],[CNAE]],'RAIS Estabelecimentos - Bah (2)'!A:E,3,FALSE)</f>
        <v>14</v>
      </c>
      <c r="E77" s="15">
        <f>VLOOKUP(Tabela1[[#This Row],[CNAE]],Complexidade!A:D,4,FALSE)</f>
        <v>0.30857469855129699</v>
      </c>
      <c r="F77" s="15">
        <f>VLOOKUP(Tabela1[[#This Row],[CNAE]],CNAE_TSB!A:C,3,FALSE)</f>
        <v>0</v>
      </c>
      <c r="G77" s="15">
        <f>VLOOKUP(Tabela1[[#This Row],[CNAE]],CNAE_GST!A:C,3,FALSE)</f>
        <v>0</v>
      </c>
      <c r="H77" s="35">
        <f>VLOOKUP(Tabela1[[#This Row],[CNAE]],Dependencia_CNAE!A:G,7,FALSE)</f>
        <v>98.52</v>
      </c>
    </row>
    <row r="78" spans="1:8">
      <c r="A78" s="34" t="s">
        <v>193</v>
      </c>
      <c r="B78" s="16" t="s">
        <v>194</v>
      </c>
      <c r="C78" s="44" t="str">
        <f>VLOOKUP(Tabela1[[#This Row],[CNAE]],'RAIS Vínculos - Bahia 2023-2025'!A:E,3,FALSE)</f>
        <v>0</v>
      </c>
      <c r="D78" s="38" t="str">
        <f>VLOOKUP(Tabela1[[#This Row],[CNAE]],'RAIS Estabelecimentos - Bah (2)'!A:E,3,FALSE)</f>
        <v>0</v>
      </c>
      <c r="E78" s="15">
        <f>VLOOKUP(Tabela1[[#This Row],[CNAE]],Complexidade!A:D,4,FALSE)</f>
        <v>1.4064913957166401</v>
      </c>
      <c r="F78" s="15">
        <f>VLOOKUP(Tabela1[[#This Row],[CNAE]],CNAE_TSB!A:C,3,FALSE)</f>
        <v>0</v>
      </c>
      <c r="G78" s="15">
        <f>VLOOKUP(Tabela1[[#This Row],[CNAE]],CNAE_GST!A:C,3,FALSE)</f>
        <v>0</v>
      </c>
      <c r="H78" s="35">
        <f>VLOOKUP(Tabela1[[#This Row],[CNAE]],Dependencia_CNAE!A:G,7,FALSE)</f>
        <v>99.93</v>
      </c>
    </row>
    <row r="79" spans="1:8">
      <c r="A79" s="34" t="s">
        <v>195</v>
      </c>
      <c r="B79" s="14" t="s">
        <v>196</v>
      </c>
      <c r="C79" s="44" t="str">
        <f>VLOOKUP(Tabela1[[#This Row],[CNAE]],'RAIS Vínculos - Bahia 2023-2025'!A:E,3,FALSE)</f>
        <v>160</v>
      </c>
      <c r="D79" s="38" t="str">
        <f>VLOOKUP(Tabela1[[#This Row],[CNAE]],'RAIS Estabelecimentos - Bah (2)'!A:E,3,FALSE)</f>
        <v>22</v>
      </c>
      <c r="E79" s="15">
        <f>VLOOKUP(Tabela1[[#This Row],[CNAE]],Complexidade!A:D,4,FALSE)</f>
        <v>0.88533954443846696</v>
      </c>
      <c r="F79" s="15">
        <f>VLOOKUP(Tabela1[[#This Row],[CNAE]],CNAE_TSB!A:C,3,FALSE)</f>
        <v>0</v>
      </c>
      <c r="G79" s="15">
        <f>VLOOKUP(Tabela1[[#This Row],[CNAE]],CNAE_GST!A:C,3,FALSE)</f>
        <v>1</v>
      </c>
      <c r="H79" s="35">
        <f>VLOOKUP(Tabela1[[#This Row],[CNAE]],Dependencia_CNAE!A:G,7,FALSE)</f>
        <v>87.22</v>
      </c>
    </row>
    <row r="80" spans="1:8">
      <c r="A80" s="34" t="s">
        <v>197</v>
      </c>
      <c r="B80" s="16" t="s">
        <v>198</v>
      </c>
      <c r="C80" s="44" t="str">
        <f>VLOOKUP(Tabela1[[#This Row],[CNAE]],'RAIS Vínculos - Bahia 2023-2025'!A:E,3,FALSE)</f>
        <v>8.956</v>
      </c>
      <c r="D80" s="38" t="str">
        <f>VLOOKUP(Tabela1[[#This Row],[CNAE]],'RAIS Estabelecimentos - Bah (2)'!A:E,3,FALSE)</f>
        <v>767</v>
      </c>
      <c r="E80" s="15">
        <f>VLOOKUP(Tabela1[[#This Row],[CNAE]],Complexidade!A:D,4,FALSE)</f>
        <v>-0.33027270513736501</v>
      </c>
      <c r="F80" s="15">
        <f>VLOOKUP(Tabela1[[#This Row],[CNAE]],CNAE_TSB!A:C,3,FALSE)</f>
        <v>0</v>
      </c>
      <c r="G80" s="15">
        <f>VLOOKUP(Tabela1[[#This Row],[CNAE]],CNAE_GST!A:C,3,FALSE)</f>
        <v>0</v>
      </c>
      <c r="H80" s="35">
        <f>VLOOKUP(Tabela1[[#This Row],[CNAE]],Dependencia_CNAE!A:G,7,FALSE)</f>
        <v>60.28</v>
      </c>
    </row>
    <row r="81" spans="1:8">
      <c r="A81" s="34" t="s">
        <v>199</v>
      </c>
      <c r="B81" s="14" t="s">
        <v>200</v>
      </c>
      <c r="C81" s="44" t="str">
        <f>VLOOKUP(Tabela1[[#This Row],[CNAE]],'RAIS Vínculos - Bahia 2023-2025'!A:E,3,FALSE)</f>
        <v>3</v>
      </c>
      <c r="D81" s="38" t="str">
        <f>VLOOKUP(Tabela1[[#This Row],[CNAE]],'RAIS Estabelecimentos - Bah (2)'!A:E,3,FALSE)</f>
        <v>2</v>
      </c>
      <c r="E81" s="15">
        <f>VLOOKUP(Tabela1[[#This Row],[CNAE]],Complexidade!A:D,4,FALSE)</f>
        <v>1.3426520510965401</v>
      </c>
      <c r="F81" s="15">
        <f>VLOOKUP(Tabela1[[#This Row],[CNAE]],CNAE_TSB!A:C,3,FALSE)</f>
        <v>0</v>
      </c>
      <c r="G81" s="15">
        <f>VLOOKUP(Tabela1[[#This Row],[CNAE]],CNAE_GST!A:C,3,FALSE)</f>
        <v>0</v>
      </c>
      <c r="H81" s="35">
        <f>VLOOKUP(Tabela1[[#This Row],[CNAE]],Dependencia_CNAE!A:G,7,FALSE)</f>
        <v>94.85</v>
      </c>
    </row>
    <row r="82" spans="1:8">
      <c r="A82" s="34" t="s">
        <v>201</v>
      </c>
      <c r="B82" s="16" t="s">
        <v>202</v>
      </c>
      <c r="C82" s="44" t="str">
        <f>VLOOKUP(Tabela1[[#This Row],[CNAE]],'RAIS Vínculos - Bahia 2023-2025'!A:E,3,FALSE)</f>
        <v>70</v>
      </c>
      <c r="D82" s="38" t="str">
        <f>VLOOKUP(Tabela1[[#This Row],[CNAE]],'RAIS Estabelecimentos - Bah (2)'!A:E,3,FALSE)</f>
        <v>7</v>
      </c>
      <c r="E82" s="15">
        <f>VLOOKUP(Tabela1[[#This Row],[CNAE]],Complexidade!A:D,4,FALSE)</f>
        <v>0.98191866308832298</v>
      </c>
      <c r="F82" s="15">
        <f>VLOOKUP(Tabela1[[#This Row],[CNAE]],CNAE_TSB!A:C,3,FALSE)</f>
        <v>0</v>
      </c>
      <c r="G82" s="15">
        <f>VLOOKUP(Tabela1[[#This Row],[CNAE]],CNAE_GST!A:C,3,FALSE)</f>
        <v>0</v>
      </c>
      <c r="H82" s="35">
        <f>VLOOKUP(Tabela1[[#This Row],[CNAE]],Dependencia_CNAE!A:G,7,FALSE)</f>
        <v>36.68</v>
      </c>
    </row>
    <row r="83" spans="1:8">
      <c r="A83" s="34" t="s">
        <v>203</v>
      </c>
      <c r="B83" s="14" t="s">
        <v>204</v>
      </c>
      <c r="C83" s="44" t="str">
        <f>VLOOKUP(Tabela1[[#This Row],[CNAE]],'RAIS Vínculos - Bahia 2023-2025'!A:E,3,FALSE)</f>
        <v>50</v>
      </c>
      <c r="D83" s="38" t="str">
        <f>VLOOKUP(Tabela1[[#This Row],[CNAE]],'RAIS Estabelecimentos - Bah (2)'!A:E,3,FALSE)</f>
        <v>13</v>
      </c>
      <c r="E83" s="15">
        <f>VLOOKUP(Tabela1[[#This Row],[CNAE]],Complexidade!A:D,4,FALSE)</f>
        <v>0.65322546917035296</v>
      </c>
      <c r="F83" s="15">
        <f>VLOOKUP(Tabela1[[#This Row],[CNAE]],CNAE_TSB!A:C,3,FALSE)</f>
        <v>0</v>
      </c>
      <c r="G83" s="15">
        <f>VLOOKUP(Tabela1[[#This Row],[CNAE]],CNAE_GST!A:C,3,FALSE)</f>
        <v>0</v>
      </c>
      <c r="H83" s="35">
        <f>VLOOKUP(Tabela1[[#This Row],[CNAE]],Dependencia_CNAE!A:G,7,FALSE)</f>
        <v>84.2</v>
      </c>
    </row>
    <row r="84" spans="1:8">
      <c r="A84" s="34" t="s">
        <v>205</v>
      </c>
      <c r="B84" s="16" t="s">
        <v>206</v>
      </c>
      <c r="C84" s="44" t="str">
        <f>VLOOKUP(Tabela1[[#This Row],[CNAE]],'RAIS Vínculos - Bahia 2023-2025'!A:E,3,FALSE)</f>
        <v>1.193</v>
      </c>
      <c r="D84" s="38" t="str">
        <f>VLOOKUP(Tabela1[[#This Row],[CNAE]],'RAIS Estabelecimentos - Bah (2)'!A:E,3,FALSE)</f>
        <v>189</v>
      </c>
      <c r="E84" s="15">
        <f>VLOOKUP(Tabela1[[#This Row],[CNAE]],Complexidade!A:D,4,FALSE)</f>
        <v>0.37140426772027701</v>
      </c>
      <c r="F84" s="15">
        <f>VLOOKUP(Tabela1[[#This Row],[CNAE]],CNAE_TSB!A:C,3,FALSE)</f>
        <v>0</v>
      </c>
      <c r="G84" s="15">
        <f>VLOOKUP(Tabela1[[#This Row],[CNAE]],CNAE_GST!A:C,3,FALSE)</f>
        <v>1</v>
      </c>
      <c r="H84" s="35">
        <f>VLOOKUP(Tabela1[[#This Row],[CNAE]],Dependencia_CNAE!A:G,7,FALSE)</f>
        <v>60.42</v>
      </c>
    </row>
    <row r="85" spans="1:8">
      <c r="A85" s="34" t="s">
        <v>207</v>
      </c>
      <c r="B85" s="14" t="s">
        <v>208</v>
      </c>
      <c r="C85" s="44" t="str">
        <f>VLOOKUP(Tabela1[[#This Row],[CNAE]],'RAIS Vínculos - Bahia 2023-2025'!A:E,3,FALSE)</f>
        <v>2.087</v>
      </c>
      <c r="D85" s="38" t="str">
        <f>VLOOKUP(Tabela1[[#This Row],[CNAE]],'RAIS Estabelecimentos - Bah (2)'!A:E,3,FALSE)</f>
        <v>393</v>
      </c>
      <c r="E85" s="15">
        <f>VLOOKUP(Tabela1[[#This Row],[CNAE]],Complexidade!A:D,4,FALSE)</f>
        <v>-2.6559354200106199E-2</v>
      </c>
      <c r="F85" s="15">
        <f>VLOOKUP(Tabela1[[#This Row],[CNAE]],CNAE_TSB!A:C,3,FALSE)</f>
        <v>0</v>
      </c>
      <c r="G85" s="15">
        <f>VLOOKUP(Tabela1[[#This Row],[CNAE]],CNAE_GST!A:C,3,FALSE)</f>
        <v>0</v>
      </c>
      <c r="H85" s="35">
        <f>VLOOKUP(Tabela1[[#This Row],[CNAE]],Dependencia_CNAE!A:G,7,FALSE)</f>
        <v>82.84</v>
      </c>
    </row>
    <row r="86" spans="1:8">
      <c r="A86" s="34" t="s">
        <v>209</v>
      </c>
      <c r="B86" s="16" t="s">
        <v>210</v>
      </c>
      <c r="C86" s="44">
        <f>VLOOKUP(Tabela1[[#This Row],[CNAE]],'RAIS Vínculos - Bahia 2023-2025'!A:E,3,FALSE)</f>
        <v>164</v>
      </c>
      <c r="D86" s="38">
        <f>VLOOKUP(Tabela1[[#This Row],[CNAE]],'RAIS Estabelecimentos - Bah (2)'!A:E,3,FALSE)</f>
        <v>70</v>
      </c>
      <c r="E86" s="15">
        <f>VLOOKUP(Tabela1[[#This Row],[CNAE]],Complexidade!A:D,4,FALSE)</f>
        <v>-0.121634501192697</v>
      </c>
      <c r="F86" s="15">
        <f>VLOOKUP(Tabela1[[#This Row],[CNAE]],CNAE_TSB!A:C,3,FALSE)</f>
        <v>0</v>
      </c>
      <c r="G86" s="15">
        <f>VLOOKUP(Tabela1[[#This Row],[CNAE]],CNAE_GST!A:C,3,FALSE)</f>
        <v>0</v>
      </c>
      <c r="H86" s="35">
        <f>VLOOKUP(Tabela1[[#This Row],[CNAE]],Dependencia_CNAE!A:G,7,FALSE)</f>
        <v>59.43</v>
      </c>
    </row>
    <row r="87" spans="1:8">
      <c r="A87" s="34" t="s">
        <v>211</v>
      </c>
      <c r="B87" s="14" t="s">
        <v>212</v>
      </c>
      <c r="C87" s="44">
        <f>VLOOKUP(Tabela1[[#This Row],[CNAE]],'RAIS Vínculos - Bahia 2023-2025'!A:E,3,FALSE)</f>
        <v>11463</v>
      </c>
      <c r="D87" s="38">
        <f>VLOOKUP(Tabela1[[#This Row],[CNAE]],'RAIS Estabelecimentos - Bah (2)'!A:E,3,FALSE)</f>
        <v>715</v>
      </c>
      <c r="E87" s="15">
        <f>VLOOKUP(Tabela1[[#This Row],[CNAE]],Complexidade!A:D,4,FALSE)</f>
        <v>9.9233405631967295E-2</v>
      </c>
      <c r="F87" s="15">
        <f>VLOOKUP(Tabela1[[#This Row],[CNAE]],CNAE_TSB!A:C,3,FALSE)</f>
        <v>0</v>
      </c>
      <c r="G87" s="15">
        <f>VLOOKUP(Tabela1[[#This Row],[CNAE]],CNAE_GST!A:C,3,FALSE)</f>
        <v>1</v>
      </c>
      <c r="H87" s="35">
        <f>VLOOKUP(Tabela1[[#This Row],[CNAE]],Dependencia_CNAE!A:G,7,FALSE)</f>
        <v>10.48</v>
      </c>
    </row>
  </sheetData>
  <mergeCells count="1">
    <mergeCell ref="A1:B1"/>
  </mergeCells>
  <phoneticPr fontId="12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7"/>
  <sheetViews>
    <sheetView tabSelected="1" zoomScaleNormal="100" workbookViewId="0">
      <pane xSplit="2" ySplit="4" topLeftCell="C5" activePane="bottomRight" state="frozen"/>
      <selection pane="bottomRight" activeCell="J1" sqref="J1"/>
      <selection pane="bottomLeft" activeCell="A5" sqref="A5"/>
      <selection pane="topRight" activeCell="C1" sqref="C1"/>
    </sheetView>
  </sheetViews>
  <sheetFormatPr defaultColWidth="8.5703125" defaultRowHeight="14.45"/>
  <cols>
    <col min="1" max="1" width="8.42578125" customWidth="1"/>
    <col min="2" max="2" width="70.140625" customWidth="1"/>
    <col min="3" max="8" width="10" customWidth="1"/>
    <col min="9" max="9" width="13.85546875" customWidth="1"/>
    <col min="10" max="10" width="10.85546875" customWidth="1"/>
    <col min="11" max="11" width="14.28515625" customWidth="1"/>
    <col min="12" max="12" width="21.42578125" customWidth="1"/>
    <col min="13" max="13" width="15.42578125" style="18" customWidth="1"/>
    <col min="14" max="14" width="13.42578125" customWidth="1"/>
    <col min="15" max="15" width="23.7109375" customWidth="1"/>
  </cols>
  <sheetData>
    <row r="1" spans="1:15" ht="18">
      <c r="A1" s="1" t="s">
        <v>213</v>
      </c>
    </row>
    <row r="3" spans="1:15">
      <c r="K3" s="53">
        <f>MEDIAN(Tabela4[Tx Variação])</f>
        <v>1.53</v>
      </c>
      <c r="L3" s="57">
        <f>MEDIAN(Tabela4[Volume compra 2025])</f>
        <v>3766643.89</v>
      </c>
    </row>
    <row r="4" spans="1:15" ht="30" customHeight="1">
      <c r="A4" s="8" t="s">
        <v>39</v>
      </c>
      <c r="B4" s="9" t="s">
        <v>40</v>
      </c>
      <c r="C4" s="9" t="s">
        <v>214</v>
      </c>
      <c r="D4" s="9" t="s">
        <v>215</v>
      </c>
      <c r="E4" s="9" t="s">
        <v>216</v>
      </c>
      <c r="F4" s="10" t="s">
        <v>217</v>
      </c>
      <c r="G4" s="9" t="s">
        <v>218</v>
      </c>
      <c r="H4" s="9" t="s">
        <v>219</v>
      </c>
      <c r="I4" s="9" t="s">
        <v>220</v>
      </c>
      <c r="J4" s="23" t="s">
        <v>221</v>
      </c>
      <c r="K4" s="9" t="s">
        <v>222</v>
      </c>
      <c r="L4" s="9" t="s">
        <v>223</v>
      </c>
      <c r="M4" s="9" t="s">
        <v>224</v>
      </c>
      <c r="N4" s="9" t="s">
        <v>225</v>
      </c>
      <c r="O4" s="9" t="s">
        <v>226</v>
      </c>
    </row>
    <row r="5" spans="1:15">
      <c r="A5" s="61" t="s">
        <v>113</v>
      </c>
      <c r="B5" s="62" t="s">
        <v>114</v>
      </c>
      <c r="C5" s="63">
        <f>(VLOOKUP($A5,Base_dados!$A$5:$H$103,3,FALSE())-MIN(Tabela1[IND01
Emprego]))/(MAX(Tabela1[IND01
Emprego])-MIN(Tabela1[IND01
Emprego]))</f>
        <v>4.4320432043204322E-2</v>
      </c>
      <c r="D5" s="63">
        <f>(VLOOKUP($A5,Base_dados!$A$5:$H$103,4,FALSE())-MIN(Base_dados!C$5:C$103))/(MAX(Base_dados!C$5:C$103)-MIN(Base_dados!C$5:C$103))</f>
        <v>2.1602160216021603E-4</v>
      </c>
      <c r="E5" s="63">
        <f>(VLOOKUP($A5,Base_dados!$A$5:$H$103,5,FALSE())-MIN(Tabela1[IND03
Complexidade Econômica]))/(MAX(Tabela1[IND03
Complexidade Econômica])-MIN(Tabela1[IND03
Complexidade Econômica]))</f>
        <v>0.83164080714757704</v>
      </c>
      <c r="F5" s="63">
        <f>VLOOKUP($A5,Base_dados!A:H,6,FALSE())</f>
        <v>0</v>
      </c>
      <c r="G5" s="63">
        <f>VLOOKUP($A5,Base_dados!$A$5:$H$103,7,FALSE())</f>
        <v>1</v>
      </c>
      <c r="H5" s="63">
        <f>(VLOOKUP(Tabela4[[#This Row],[CNAE]],Tabela1[],8,FALSE))/100</f>
        <v>0.79420000000000002</v>
      </c>
      <c r="I5" s="63">
        <f>(C5*Config_Indicadores!$G$4+D5*Config_Indicadores!$G$5+E5*Config_Indicadores!$G$6+F5*Config_Indicadores!$G$7+G5*Config_Indicadores!$G$7+H5*Config_Indicadores!$G$8)/Config_Indicadores!$G$11</f>
        <v>0.38781395611944941</v>
      </c>
      <c r="J5" s="64">
        <f>RANK(I5,Tabela4[Score Final],0)</f>
        <v>7</v>
      </c>
      <c r="K5" s="68">
        <f>VLOOKUP(Tabela4[[#This Row],[CNAE]],Síntese2!A:G,6,FALSE)</f>
        <v>50.69</v>
      </c>
      <c r="L5" s="66">
        <f>VLOOKUP(Tabela4[[#This Row],[CNAE]],Síntese2!A:G,3,FALSE)</f>
        <v>886075138.92999995</v>
      </c>
      <c r="M5" s="67" t="str">
        <f>IF(Tabela4[[#This Row],[Tx Variação]]&gt;=MEDIAN(Tabela4[Tx Variação]), "Alto","Baixo")</f>
        <v>Alto</v>
      </c>
      <c r="N5" s="67" t="str">
        <f>IF(Tabela4[[#This Row],[Volume compra 2025]]&gt;=MEDIAN(Tabela4[Volume compra 2025]), "Alto","Baixo")</f>
        <v>Alto</v>
      </c>
      <c r="O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6" spans="1:15">
      <c r="A6" s="58" t="s">
        <v>183</v>
      </c>
      <c r="B6" s="16" t="s">
        <v>184</v>
      </c>
      <c r="C6" s="59">
        <f>(VLOOKUP($A6,Base_dados!$A$5:$H$103,3,FALSE())-MIN(Tabela1[IND01
Emprego]))/(MAX(Tabela1[IND01
Emprego])-MIN(Tabela1[IND01
Emprego]))</f>
        <v>7.5679567956795674E-2</v>
      </c>
      <c r="D6" s="59">
        <f>(VLOOKUP($A6,Base_dados!$A$5:$H$103,4,FALSE())-MIN(Base_dados!C$5:C$103))/(MAX(Base_dados!C$5:C$103)-MIN(Base_dados!C$5:C$103))</f>
        <v>3.6003600360036005E-5</v>
      </c>
      <c r="E6" s="59">
        <f>(VLOOKUP($A6,Base_dados!$A$5:$H$103,5,FALSE())-MIN(Tabela1[IND03
Complexidade Econômica]))/(MAX(Tabela1[IND03
Complexidade Econômica])-MIN(Tabela1[IND03
Complexidade Econômica]))</f>
        <v>0.94986192393754421</v>
      </c>
      <c r="F6" s="59">
        <f>VLOOKUP($A6,Base_dados!A:H,6,FALSE())</f>
        <v>0</v>
      </c>
      <c r="G6" s="59">
        <f>VLOOKUP($A6,Base_dados!$A$5:$H$103,7,FALSE())</f>
        <v>0</v>
      </c>
      <c r="H6" s="59">
        <f>(VLOOKUP(Tabela4[[#This Row],[CNAE]],Tabela1[],8,FALSE))/100</f>
        <v>0.51500000000000001</v>
      </c>
      <c r="I6" s="59">
        <f>(C6*Config_Indicadores!$G$4+D6*Config_Indicadores!$G$5+E6*Config_Indicadores!$G$6+F6*Config_Indicadores!$G$7+G6*Config_Indicadores!$G$7+H6*Config_Indicadores!$G$8)/Config_Indicadores!$G$11</f>
        <v>0.23089386620735652</v>
      </c>
      <c r="J6" s="60">
        <f>RANK(I6,Tabela4[Score Final],0)</f>
        <v>37</v>
      </c>
      <c r="K6" s="54">
        <f>VLOOKUP(Tabela4[[#This Row],[CNAE]],Síntese2!A:G,6,FALSE)</f>
        <v>133.9</v>
      </c>
      <c r="L6" s="52">
        <f>VLOOKUP(Tabela4[[#This Row],[CNAE]],Síntese2!A:G,3,FALSE)</f>
        <v>506315817.43000001</v>
      </c>
      <c r="M6" s="56" t="str">
        <f>IF(Tabela4[[#This Row],[Tx Variação]]&gt;=MEDIAN(Tabela4[Tx Variação]), "Alto","Baixo")</f>
        <v>Alto</v>
      </c>
      <c r="N6" s="56" t="str">
        <f>IF(Tabela4[[#This Row],[Volume compra 2025]]&gt;=MEDIAN(Tabela4[Volume compra 2025]), "Alto","Baixo")</f>
        <v>Alto</v>
      </c>
      <c r="O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7" spans="1:15">
      <c r="A7" s="58" t="s">
        <v>205</v>
      </c>
      <c r="B7" s="16" t="s">
        <v>206</v>
      </c>
      <c r="C7" s="59">
        <f>(VLOOKUP($A7,Base_dados!$A$5:$H$103,3,FALSE())-MIN(Tabela1[IND01
Emprego]))/(MAX(Tabela1[IND01
Emprego])-MIN(Tabela1[IND01
Emprego]))</f>
        <v>4.2952295229522951E-2</v>
      </c>
      <c r="D7" s="59">
        <f>(VLOOKUP($A7,Base_dados!$A$5:$H$103,4,FALSE())-MIN(Base_dados!C$5:C$103))/(MAX(Base_dados!C$5:C$103)-MIN(Base_dados!C$5:C$103))</f>
        <v>6.8046804680468049E-3</v>
      </c>
      <c r="E7" s="59">
        <f>(VLOOKUP($A7,Base_dados!$A$5:$H$103,5,FALSE())-MIN(Tabela1[IND03
Complexidade Econômica]))/(MAX(Tabela1[IND03
Complexidade Econômica])-MIN(Tabela1[IND03
Complexidade Econômica]))</f>
        <v>0.55264622373794858</v>
      </c>
      <c r="F7" s="59">
        <f>VLOOKUP($A7,Base_dados!A:H,6,FALSE())</f>
        <v>0</v>
      </c>
      <c r="G7" s="59">
        <f>VLOOKUP($A7,Base_dados!$A$5:$H$103,7,FALSE())</f>
        <v>1</v>
      </c>
      <c r="H7" s="59">
        <f>(VLOOKUP(Tabela4[[#This Row],[CNAE]],Tabela1[],8,FALSE))/100</f>
        <v>0.60420000000000007</v>
      </c>
      <c r="I7" s="59">
        <f>(C7*Config_Indicadores!$G$4+D7*Config_Indicadores!$G$5+E7*Config_Indicadores!$G$6+F7*Config_Indicadores!$G$7+G7*Config_Indicadores!$G$7+H7*Config_Indicadores!$G$8)/Config_Indicadores!$G$11</f>
        <v>0.32136507066643449</v>
      </c>
      <c r="J7" s="60">
        <f>RANK(I7,Tabela4[Score Final],0)</f>
        <v>17</v>
      </c>
      <c r="K7" s="54">
        <f>VLOOKUP(Tabela4[[#This Row],[CNAE]],Síntese2!A:G,6,FALSE)</f>
        <v>-4.24</v>
      </c>
      <c r="L7" s="52">
        <f>VLOOKUP(Tabela4[[#This Row],[CNAE]],Síntese2!A:G,3,FALSE)</f>
        <v>367246925.51999998</v>
      </c>
      <c r="M7" s="56" t="str">
        <f>IF(Tabela4[[#This Row],[Tx Variação]]&gt;=MEDIAN(Tabela4[Tx Variação]), "Alto","Baixo")</f>
        <v>Baixo</v>
      </c>
      <c r="N7" s="56" t="str">
        <f>IF(Tabela4[[#This Row],[Volume compra 2025]]&gt;=MEDIAN(Tabela4[Volume compra 2025]), "Alto","Baixo")</f>
        <v>Alto</v>
      </c>
      <c r="O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8" spans="1:15">
      <c r="A8" s="58" t="s">
        <v>145</v>
      </c>
      <c r="B8" s="16" t="s">
        <v>146</v>
      </c>
      <c r="C8" s="59">
        <f>(VLOOKUP($A8,Base_dados!$A$5:$H$103,3,FALSE())-MIN(Tabela1[IND01
Emprego]))/(MAX(Tabela1[IND01
Emprego])-MIN(Tabela1[IND01
Emprego]))</f>
        <v>3.3123312331233126E-2</v>
      </c>
      <c r="D8" s="59">
        <f>(VLOOKUP($A8,Base_dados!$A$5:$H$103,4,FALSE())-MIN(Base_dados!C$5:C$103))/(MAX(Base_dados!C$5:C$103)-MIN(Base_dados!C$5:C$103))</f>
        <v>7.9207920792079213E-4</v>
      </c>
      <c r="E8" s="59">
        <f>(VLOOKUP($A8,Base_dados!$A$5:$H$103,5,FALSE())-MIN(Tabela1[IND03
Complexidade Econômica]))/(MAX(Tabela1[IND03
Complexidade Econômica])-MIN(Tabela1[IND03
Complexidade Econômica]))</f>
        <v>0.872462408645586</v>
      </c>
      <c r="F8" s="59">
        <f>VLOOKUP($A8,Base_dados!A:H,6,FALSE())</f>
        <v>0</v>
      </c>
      <c r="G8" s="59">
        <f>VLOOKUP($A8,Base_dados!$A$5:$H$103,7,FALSE())</f>
        <v>0</v>
      </c>
      <c r="H8" s="59">
        <f>(VLOOKUP(Tabela4[[#This Row],[CNAE]],Tabela1[],8,FALSE))/100</f>
        <v>0.1431</v>
      </c>
      <c r="I8" s="59">
        <f>(C8*Config_Indicadores!$G$4+D8*Config_Indicadores!$G$5+E8*Config_Indicadores!$G$6+F8*Config_Indicadores!$G$7+G8*Config_Indicadores!$G$7+H8*Config_Indicadores!$G$8)/Config_Indicadores!$G$11</f>
        <v>0.15465730178799614</v>
      </c>
      <c r="J8" s="60">
        <f>RANK(I8,Tabela4[Score Final],0)</f>
        <v>56</v>
      </c>
      <c r="K8" s="54">
        <f>VLOOKUP(Tabela4[[#This Row],[CNAE]],Síntese2!A:G,6,FALSE)</f>
        <v>33.28</v>
      </c>
      <c r="L8" s="52">
        <f>VLOOKUP(Tabela4[[#This Row],[CNAE]],Síntese2!A:G,3,FALSE)</f>
        <v>166216466.69</v>
      </c>
      <c r="M8" s="56" t="str">
        <f>IF(Tabela4[[#This Row],[Tx Variação]]&gt;=MEDIAN(Tabela4[Tx Variação]), "Alto","Baixo")</f>
        <v>Alto</v>
      </c>
      <c r="N8" s="56" t="str">
        <f>IF(Tabela4[[#This Row],[Volume compra 2025]]&gt;=MEDIAN(Tabela4[Volume compra 2025]), "Alto","Baixo")</f>
        <v>Alto</v>
      </c>
      <c r="O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9" spans="1:15">
      <c r="A9" s="58" t="s">
        <v>175</v>
      </c>
      <c r="B9" s="16" t="s">
        <v>176</v>
      </c>
      <c r="C9" s="59">
        <f>(VLOOKUP($A9,Base_dados!$A$5:$H$103,3,FALSE())-MIN(Tabela1[IND01
Emprego]))/(MAX(Tabela1[IND01
Emprego])-MIN(Tabela1[IND01
Emprego]))</f>
        <v>1.2133213321332133E-2</v>
      </c>
      <c r="D9" s="59">
        <f>(VLOOKUP($A9,Base_dados!$A$5:$H$103,4,FALSE())-MIN(Base_dados!C$5:C$103))/(MAX(Base_dados!C$5:C$103)-MIN(Base_dados!C$5:C$103))</f>
        <v>1.2601260126012602E-3</v>
      </c>
      <c r="E9" s="59">
        <f>(VLOOKUP($A9,Base_dados!$A$5:$H$103,5,FALSE())-MIN(Tabela1[IND03
Complexidade Econômica]))/(MAX(Tabela1[IND03
Complexidade Econômica])-MIN(Tabela1[IND03
Complexidade Econômica]))</f>
        <v>0.47523441995705618</v>
      </c>
      <c r="F9" s="59">
        <f>VLOOKUP($A9,Base_dados!A:H,6,FALSE())</f>
        <v>0</v>
      </c>
      <c r="G9" s="59">
        <f>VLOOKUP($A9,Base_dados!$A$5:$H$103,7,FALSE())</f>
        <v>0</v>
      </c>
      <c r="H9" s="59">
        <f>(VLOOKUP(Tabela4[[#This Row],[CNAE]],Tabela1[],8,FALSE))/100</f>
        <v>0.72360000000000002</v>
      </c>
      <c r="I9" s="59">
        <f>(C9*Config_Indicadores!$G$4+D9*Config_Indicadores!$G$5+E9*Config_Indicadores!$G$6+F9*Config_Indicadores!$G$7+G9*Config_Indicadores!$G$7+H9*Config_Indicadores!$G$8)/Config_Indicadores!$G$11</f>
        <v>0.17490871037318881</v>
      </c>
      <c r="J9" s="60">
        <f>RANK(I9,Tabela4[Score Final],0)</f>
        <v>54</v>
      </c>
      <c r="K9" s="54">
        <f>VLOOKUP(Tabela4[[#This Row],[CNAE]],Síntese2!A:G,6,FALSE)</f>
        <v>42.72</v>
      </c>
      <c r="L9" s="52">
        <f>VLOOKUP(Tabela4[[#This Row],[CNAE]],Síntese2!A:G,3,FALSE)</f>
        <v>121693315.29000001</v>
      </c>
      <c r="M9" s="56" t="str">
        <f>IF(Tabela4[[#This Row],[Tx Variação]]&gt;=MEDIAN(Tabela4[Tx Variação]), "Alto","Baixo")</f>
        <v>Alto</v>
      </c>
      <c r="N9" s="56" t="str">
        <f>IF(Tabela4[[#This Row],[Volume compra 2025]]&gt;=MEDIAN(Tabela4[Volume compra 2025]), "Alto","Baixo")</f>
        <v>Alto</v>
      </c>
      <c r="O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0" spans="1:15">
      <c r="A10" s="58" t="s">
        <v>193</v>
      </c>
      <c r="B10" s="16" t="s">
        <v>194</v>
      </c>
      <c r="C10" s="59">
        <f>(VLOOKUP($A10,Base_dados!$A$5:$H$103,3,FALSE())-MIN(Tabela1[IND01
Emprego]))/(MAX(Tabela1[IND01
Emprego])-MIN(Tabela1[IND01
Emprego]))</f>
        <v>0</v>
      </c>
      <c r="D10" s="59">
        <f>(VLOOKUP($A10,Base_dados!$A$5:$H$103,4,FALSE())-MIN(Base_dados!C$5:C$103))/(MAX(Base_dados!C$5:C$103)-MIN(Base_dados!C$5:C$103))</f>
        <v>0</v>
      </c>
      <c r="E10" s="59">
        <f>(VLOOKUP($A10,Base_dados!$A$5:$H$103,5,FALSE())-MIN(Tabela1[IND03
Complexidade Econômica]))/(MAX(Tabela1[IND03
Complexidade Econômica])-MIN(Tabela1[IND03
Complexidade Econômica]))</f>
        <v>0.80913476499342496</v>
      </c>
      <c r="F10" s="59">
        <f>VLOOKUP($A10,Base_dados!A:H,6,FALSE())</f>
        <v>0</v>
      </c>
      <c r="G10" s="59">
        <f>VLOOKUP($A10,Base_dados!$A$5:$H$103,7,FALSE())</f>
        <v>0</v>
      </c>
      <c r="H10" s="59">
        <f>(VLOOKUP(Tabela4[[#This Row],[CNAE]],Tabela1[],8,FALSE))/100</f>
        <v>0.99930000000000008</v>
      </c>
      <c r="I10" s="59">
        <f>(C10*Config_Indicadores!$G$4+D10*Config_Indicadores!$G$5+E10*Config_Indicadores!$G$6+F10*Config_Indicadores!$G$7+G10*Config_Indicadores!$G$7+H10*Config_Indicadores!$G$8)/Config_Indicadores!$G$11</f>
        <v>0.2583478235704893</v>
      </c>
      <c r="J10" s="60">
        <f>RANK(I10,Tabela4[Score Final],0)</f>
        <v>27</v>
      </c>
      <c r="K10" s="54">
        <f>VLOOKUP(Tabela4[[#This Row],[CNAE]],Síntese2!A:G,6,FALSE)</f>
        <v>7883.18</v>
      </c>
      <c r="L10" s="52">
        <f>VLOOKUP(Tabela4[[#This Row],[CNAE]],Síntese2!A:G,3,FALSE)</f>
        <v>108571822.64</v>
      </c>
      <c r="M10" s="56" t="str">
        <f>IF(Tabela4[[#This Row],[Tx Variação]]&gt;=MEDIAN(Tabela4[Tx Variação]), "Alto","Baixo")</f>
        <v>Alto</v>
      </c>
      <c r="N10" s="56" t="str">
        <f>IF(Tabela4[[#This Row],[Volume compra 2025]]&gt;=MEDIAN(Tabela4[Volume compra 2025]), "Alto","Baixo")</f>
        <v>Alto</v>
      </c>
      <c r="O1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1" spans="1:15">
      <c r="A11" s="58" t="s">
        <v>185</v>
      </c>
      <c r="B11" s="16" t="s">
        <v>186</v>
      </c>
      <c r="C11" s="59">
        <f>(VLOOKUP($A11,Base_dados!$A$5:$H$103,3,FALSE())-MIN(Tabela1[IND01
Emprego]))/(MAX(Tabela1[IND01
Emprego])-MIN(Tabela1[IND01
Emprego]))</f>
        <v>0</v>
      </c>
      <c r="D11" s="59">
        <f>(VLOOKUP($A11,Base_dados!$A$5:$H$103,4,FALSE())-MIN(Base_dados!C$5:C$103))/(MAX(Base_dados!C$5:C$103)-MIN(Base_dados!C$5:C$103))</f>
        <v>0</v>
      </c>
      <c r="E11" s="59">
        <f>(VLOOKUP($A11,Base_dados!$A$5:$H$103,5,FALSE())-MIN(Tabela1[IND03
Complexidade Econômica]))/(MAX(Tabela1[IND03
Complexidade Econômica])-MIN(Tabela1[IND03
Complexidade Econômica]))</f>
        <v>1</v>
      </c>
      <c r="F11" s="59">
        <f>VLOOKUP($A11,Base_dados!A:H,6,FALSE())</f>
        <v>0</v>
      </c>
      <c r="G11" s="59">
        <f>VLOOKUP($A11,Base_dados!$A$5:$H$103,7,FALSE())</f>
        <v>0</v>
      </c>
      <c r="H11" s="59">
        <f>(VLOOKUP(Tabela4[[#This Row],[CNAE]],Tabela1[],8,FALSE))/100</f>
        <v>0.76129999999999998</v>
      </c>
      <c r="I11" s="59">
        <f>(C11*Config_Indicadores!$G$4+D11*Config_Indicadores!$G$5+E11*Config_Indicadores!$G$6+F11*Config_Indicadores!$G$7+G11*Config_Indicadores!$G$7+H11*Config_Indicadores!$G$8)/Config_Indicadores!$G$11</f>
        <v>0.25161428571428568</v>
      </c>
      <c r="J11" s="60">
        <f>RANK(I11,Tabela4[Score Final],0)</f>
        <v>29</v>
      </c>
      <c r="K11" s="54">
        <f>VLOOKUP(Tabela4[[#This Row],[CNAE]],Síntese2!A:G,6,FALSE)</f>
        <v>1567.14</v>
      </c>
      <c r="L11" s="52">
        <f>VLOOKUP(Tabela4[[#This Row],[CNAE]],Síntese2!A:G,3,FALSE)</f>
        <v>100210843</v>
      </c>
      <c r="M11" s="56" t="str">
        <f>IF(Tabela4[[#This Row],[Tx Variação]]&gt;=MEDIAN(Tabela4[Tx Variação]), "Alto","Baixo")</f>
        <v>Alto</v>
      </c>
      <c r="N11" s="56" t="str">
        <f>IF(Tabela4[[#This Row],[Volume compra 2025]]&gt;=MEDIAN(Tabela4[Volume compra 2025]), "Alto","Baixo")</f>
        <v>Alto</v>
      </c>
      <c r="O1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2" spans="1:15">
      <c r="A12" s="61" t="s">
        <v>111</v>
      </c>
      <c r="B12" s="62" t="s">
        <v>112</v>
      </c>
      <c r="C12" s="63">
        <f>(VLOOKUP($A12,Base_dados!$A$5:$H$103,3,FALSE())-MIN(Tabela1[IND01
Emprego]))/(MAX(Tabela1[IND01
Emprego])-MIN(Tabela1[IND01
Emprego]))</f>
        <v>7.2007200720072004E-4</v>
      </c>
      <c r="D12" s="63">
        <f>(VLOOKUP($A12,Base_dados!$A$5:$H$103,4,FALSE())-MIN(Base_dados!C$5:C$103))/(MAX(Base_dados!C$5:C$103)-MIN(Base_dados!C$5:C$103))</f>
        <v>3.6003600360036005E-5</v>
      </c>
      <c r="E12" s="63">
        <f>(VLOOKUP($A12,Base_dados!$A$5:$H$103,5,FALSE())-MIN(Tabela1[IND03
Complexidade Econômica]))/(MAX(Tabela1[IND03
Complexidade Econômica])-MIN(Tabela1[IND03
Complexidade Econômica]))</f>
        <v>0.69444380761119029</v>
      </c>
      <c r="F12" s="63">
        <f>VLOOKUP($A12,Base_dados!A:H,6,FALSE())</f>
        <v>0</v>
      </c>
      <c r="G12" s="63">
        <f>VLOOKUP($A12,Base_dados!$A$5:$H$103,7,FALSE())</f>
        <v>1</v>
      </c>
      <c r="H12" s="63">
        <f>(VLOOKUP(Tabela4[[#This Row],[CNAE]],Tabela1[],8,FALSE))/100</f>
        <v>0.60760000000000003</v>
      </c>
      <c r="I12" s="63">
        <f>(C12*Config_Indicadores!$G$4+D12*Config_Indicadores!$G$5+E12*Config_Indicadores!$G$6+F12*Config_Indicadores!$G$7+G12*Config_Indicadores!$G$7+H12*Config_Indicadores!$G$8)/Config_Indicadores!$G$11</f>
        <v>0.3290742793179931</v>
      </c>
      <c r="J12" s="64">
        <f>RANK(I12,Tabela4[Score Final],0)</f>
        <v>13</v>
      </c>
      <c r="K12" s="65">
        <f>VLOOKUP(Tabela4[[#This Row],[CNAE]],Síntese2!A:G,6,FALSE)</f>
        <v>23.74</v>
      </c>
      <c r="L12" s="66">
        <f>VLOOKUP(Tabela4[[#This Row],[CNAE]],Síntese2!A:G,3,FALSE)</f>
        <v>77553396.230000004</v>
      </c>
      <c r="M12" s="67" t="str">
        <f>IF(Tabela4[[#This Row],[Tx Variação]]&gt;=MEDIAN(Tabela4[Tx Variação]), "Alto","Baixo")</f>
        <v>Alto</v>
      </c>
      <c r="N12" s="67" t="str">
        <f>IF(Tabela4[[#This Row],[Volume compra 2025]]&gt;=MEDIAN(Tabela4[Volume compra 2025]), "Alto","Baixo")</f>
        <v>Alto</v>
      </c>
      <c r="O12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3" spans="1:15">
      <c r="A13" s="61" t="s">
        <v>77</v>
      </c>
      <c r="B13" s="62" t="s">
        <v>78</v>
      </c>
      <c r="C13" s="63">
        <f>(VLOOKUP($A13,Base_dados!$A$5:$H$103,3,FALSE())-MIN(Tabela1[IND01
Emprego]))/(MAX(Tabela1[IND01
Emprego])-MIN(Tabela1[IND01
Emprego]))</f>
        <v>0.35924392439243924</v>
      </c>
      <c r="D13" s="63">
        <f>(VLOOKUP($A13,Base_dados!$A$5:$H$103,4,FALSE())-MIN(Base_dados!C$5:C$103))/(MAX(Base_dados!C$5:C$103)-MIN(Base_dados!C$5:C$103))</f>
        <v>3.2331233123312333E-2</v>
      </c>
      <c r="E13" s="63">
        <f>(VLOOKUP($A13,Base_dados!$A$5:$H$103,5,FALSE())-MIN(Tabela1[IND03
Complexidade Econômica]))/(MAX(Tabela1[IND03
Complexidade Econômica])-MIN(Tabela1[IND03
Complexidade Econômica]))</f>
        <v>0.23843616308699428</v>
      </c>
      <c r="F13" s="63">
        <f>VLOOKUP($A13,Base_dados!A:H,6,FALSE())</f>
        <v>0</v>
      </c>
      <c r="G13" s="63">
        <f>VLOOKUP($A13,Base_dados!$A$5:$H$103,7,FALSE())</f>
        <v>1</v>
      </c>
      <c r="H13" s="63">
        <f>(VLOOKUP(Tabela4[[#This Row],[CNAE]],Tabela1[],8,FALSE))/100</f>
        <v>0.28839999999999999</v>
      </c>
      <c r="I13" s="63">
        <f>(C13*Config_Indicadores!$G$4+D13*Config_Indicadores!$G$5+E13*Config_Indicadores!$G$6+F13*Config_Indicadores!$G$7+G13*Config_Indicadores!$G$7+H13*Config_Indicadores!$G$8)/Config_Indicadores!$G$11</f>
        <v>0.32537932071359787</v>
      </c>
      <c r="J13" s="64">
        <f>RANK(I13,Tabela4[Score Final],0)</f>
        <v>15</v>
      </c>
      <c r="K13" s="65">
        <f>VLOOKUP(Tabela4[[#This Row],[CNAE]],Síntese2!A:G,6,FALSE)</f>
        <v>19.61</v>
      </c>
      <c r="L13" s="66">
        <f>VLOOKUP(Tabela4[[#This Row],[CNAE]],Síntese2!A:G,3,FALSE)</f>
        <v>65230981.450000003</v>
      </c>
      <c r="M13" s="67" t="str">
        <f>IF(Tabela4[[#This Row],[Tx Variação]]&gt;=MEDIAN(Tabela4[Tx Variação]), "Alto","Baixo")</f>
        <v>Alto</v>
      </c>
      <c r="N13" s="67" t="str">
        <f>IF(Tabela4[[#This Row],[Volume compra 2025]]&gt;=MEDIAN(Tabela4[Volume compra 2025]), "Alto","Baixo")</f>
        <v>Alto</v>
      </c>
      <c r="O1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4" spans="1:15">
      <c r="A14" s="61" t="s">
        <v>167</v>
      </c>
      <c r="B14" s="62" t="s">
        <v>168</v>
      </c>
      <c r="C14" s="63">
        <f>(VLOOKUP($A14,Base_dados!$A$5:$H$103,3,FALSE())-MIN(Tabela1[IND01
Emprego]))/(MAX(Tabela1[IND01
Emprego])-MIN(Tabela1[IND01
Emprego]))</f>
        <v>0.2113051305130513</v>
      </c>
      <c r="D14" s="63">
        <f>(VLOOKUP($A14,Base_dados!$A$5:$H$103,4,FALSE())-MIN(Base_dados!C$5:C$103))/(MAX(Base_dados!C$5:C$103)-MIN(Base_dados!C$5:C$103))</f>
        <v>3.6003600360036002E-4</v>
      </c>
      <c r="E14" s="63">
        <f>(VLOOKUP($A14,Base_dados!$A$5:$H$103,5,FALSE())-MIN(Tabela1[IND03
Complexidade Econômica]))/(MAX(Tabela1[IND03
Complexidade Econômica])-MIN(Tabela1[IND03
Complexidade Econômica]))</f>
        <v>0.72064383365722751</v>
      </c>
      <c r="F14" s="63">
        <f>VLOOKUP($A14,Base_dados!A:H,6,FALSE())</f>
        <v>0</v>
      </c>
      <c r="G14" s="63">
        <f>VLOOKUP($A14,Base_dados!$A$5:$H$103,7,FALSE())</f>
        <v>0</v>
      </c>
      <c r="H14" s="63">
        <f>(VLOOKUP(Tabela4[[#This Row],[CNAE]],Tabela1[],8,FALSE))/100</f>
        <v>0.67069999999999996</v>
      </c>
      <c r="I14" s="63">
        <f>(C14*Config_Indicadores!$G$4+D14*Config_Indicadores!$G$5+E14*Config_Indicadores!$G$6+F14*Config_Indicadores!$G$7+G14*Config_Indicadores!$G$7+H14*Config_Indicadores!$G$8)/Config_Indicadores!$G$11</f>
        <v>0.25918773295527581</v>
      </c>
      <c r="J14" s="64">
        <f>RANK(I14,Tabela4[Score Final],0)</f>
        <v>25</v>
      </c>
      <c r="K14" s="65">
        <f>VLOOKUP(Tabela4[[#This Row],[CNAE]],Síntese2!A:G,6,FALSE)</f>
        <v>2</v>
      </c>
      <c r="L14" s="66">
        <f>VLOOKUP(Tabela4[[#This Row],[CNAE]],Síntese2!A:G,3,FALSE)</f>
        <v>59741332.119999997</v>
      </c>
      <c r="M14" s="67" t="str">
        <f>IF(Tabela4[[#This Row],[Tx Variação]]&gt;=MEDIAN(Tabela4[Tx Variação]), "Alto","Baixo")</f>
        <v>Alto</v>
      </c>
      <c r="N14" s="67" t="str">
        <f>IF(Tabela4[[#This Row],[Volume compra 2025]]&gt;=MEDIAN(Tabela4[Volume compra 2025]), "Alto","Baixo")</f>
        <v>Alto</v>
      </c>
      <c r="O1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5" spans="1:15">
      <c r="A15" s="61" t="s">
        <v>197</v>
      </c>
      <c r="B15" s="62" t="s">
        <v>198</v>
      </c>
      <c r="C15" s="63">
        <f>(VLOOKUP($A15,Base_dados!$A$5:$H$103,3,FALSE())-MIN(Tabela1[IND01
Emprego]))/(MAX(Tabela1[IND01
Emprego])-MIN(Tabela1[IND01
Emprego]))</f>
        <v>0.32244824482448242</v>
      </c>
      <c r="D15" s="63">
        <f>(VLOOKUP($A15,Base_dados!$A$5:$H$103,4,FALSE())-MIN(Base_dados!C$5:C$103))/(MAX(Base_dados!C$5:C$103)-MIN(Base_dados!C$5:C$103))</f>
        <v>2.7614761476147616E-2</v>
      </c>
      <c r="E15" s="63">
        <f>(VLOOKUP($A15,Base_dados!$A$5:$H$103,5,FALSE())-MIN(Tabela1[IND03
Complexidade Econômica]))/(MAX(Tabela1[IND03
Complexidade Econômica])-MIN(Tabela1[IND03
Complexidade Econômica]))</f>
        <v>0.37877477047276276</v>
      </c>
      <c r="F15" s="63">
        <f>VLOOKUP($A15,Base_dados!A:H,6,FALSE())</f>
        <v>0</v>
      </c>
      <c r="G15" s="63">
        <f>VLOOKUP($A15,Base_dados!$A$5:$H$103,7,FALSE())</f>
        <v>0</v>
      </c>
      <c r="H15" s="63">
        <f>(VLOOKUP(Tabela4[[#This Row],[CNAE]],Tabela1[],8,FALSE))/100</f>
        <v>0.6028</v>
      </c>
      <c r="I15" s="63">
        <f>(C15*Config_Indicadores!$G$4+D15*Config_Indicadores!$G$5+E15*Config_Indicadores!$G$6+F15*Config_Indicadores!$G$7+G15*Config_Indicadores!$G$7+H15*Config_Indicadores!$G$8)/Config_Indicadores!$G$11</f>
        <v>0.23629800308541074</v>
      </c>
      <c r="J15" s="64">
        <f>RANK(I15,Tabela4[Score Final],0)</f>
        <v>36</v>
      </c>
      <c r="K15" s="65">
        <f>VLOOKUP(Tabela4[[#This Row],[CNAE]],Síntese2!A:G,6,FALSE)</f>
        <v>-59.49</v>
      </c>
      <c r="L15" s="66">
        <f>VLOOKUP(Tabela4[[#This Row],[CNAE]],Síntese2!A:G,3,FALSE)</f>
        <v>56658471.739999987</v>
      </c>
      <c r="M15" s="67" t="str">
        <f>IF(Tabela4[[#This Row],[Tx Variação]]&gt;=MEDIAN(Tabela4[Tx Variação]), "Alto","Baixo")</f>
        <v>Baixo</v>
      </c>
      <c r="N15" s="67" t="str">
        <f>IF(Tabela4[[#This Row],[Volume compra 2025]]&gt;=MEDIAN(Tabela4[Volume compra 2025]), "Alto","Baixo")</f>
        <v>Alto</v>
      </c>
      <c r="O1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16" spans="1:15">
      <c r="A16" s="58" t="s">
        <v>207</v>
      </c>
      <c r="B16" s="16" t="s">
        <v>208</v>
      </c>
      <c r="C16" s="59">
        <f>(VLOOKUP($A16,Base_dados!$A$5:$H$103,3,FALSE())-MIN(Tabela1[IND01
Emprego]))/(MAX(Tabela1[IND01
Emprego])-MIN(Tabela1[IND01
Emprego]))</f>
        <v>7.5139513951395134E-2</v>
      </c>
      <c r="D16" s="59">
        <f>(VLOOKUP($A16,Base_dados!$A$5:$H$103,4,FALSE())-MIN(Base_dados!C$5:C$103))/(MAX(Base_dados!C$5:C$103)-MIN(Base_dados!C$5:C$103))</f>
        <v>1.4149414941494149E-2</v>
      </c>
      <c r="E16" s="59">
        <f>(VLOOKUP($A16,Base_dados!$A$5:$H$103,5,FALSE())-MIN(Tabela1[IND03
Complexidade Econômica]))/(MAX(Tabela1[IND03
Complexidade Econômica])-MIN(Tabela1[IND03
Complexidade Econômica]))</f>
        <v>0.45403316393042331</v>
      </c>
      <c r="F16" s="59">
        <f>VLOOKUP($A16,Base_dados!A:H,6,FALSE())</f>
        <v>0</v>
      </c>
      <c r="G16" s="59">
        <f>VLOOKUP($A16,Base_dados!$A$5:$H$103,7,FALSE())</f>
        <v>0</v>
      </c>
      <c r="H16" s="59">
        <f>(VLOOKUP(Tabela4[[#This Row],[CNAE]],Tabela1[],8,FALSE))/100</f>
        <v>0.82840000000000003</v>
      </c>
      <c r="I16" s="59">
        <f>(C16*Config_Indicadores!$G$4+D16*Config_Indicadores!$G$5+E16*Config_Indicadores!$G$6+F16*Config_Indicadores!$G$7+G16*Config_Indicadores!$G$7+H16*Config_Indicadores!$G$8)/Config_Indicadores!$G$11</f>
        <v>0.20669451525352969</v>
      </c>
      <c r="J16" s="60">
        <f>RANK(I16,Tabela4[Score Final],0)</f>
        <v>47</v>
      </c>
      <c r="K16" s="54">
        <f>VLOOKUP(Tabela4[[#This Row],[CNAE]],Síntese2!A:G,6,FALSE)</f>
        <v>94.2</v>
      </c>
      <c r="L16" s="52">
        <f>VLOOKUP(Tabela4[[#This Row],[CNAE]],Síntese2!A:G,3,FALSE)</f>
        <v>47127334.789999999</v>
      </c>
      <c r="M16" s="56" t="str">
        <f>IF(Tabela4[[#This Row],[Tx Variação]]&gt;=MEDIAN(Tabela4[Tx Variação]), "Alto","Baixo")</f>
        <v>Alto</v>
      </c>
      <c r="N16" s="56" t="str">
        <f>IF(Tabela4[[#This Row],[Volume compra 2025]]&gt;=MEDIAN(Tabela4[Volume compra 2025]), "Alto","Baixo")</f>
        <v>Alto</v>
      </c>
      <c r="O1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7" spans="1:15">
      <c r="A17" s="58" t="s">
        <v>61</v>
      </c>
      <c r="B17" s="16" t="s">
        <v>62</v>
      </c>
      <c r="C17" s="59">
        <f>(VLOOKUP($A17,Base_dados!$A$5:$H$103,3,FALSE())-MIN(Tabela1[IND01
Emprego]))/(MAX(Tabela1[IND01
Emprego])-MIN(Tabela1[IND01
Emprego]))</f>
        <v>0.23794779477947794</v>
      </c>
      <c r="D17" s="59">
        <f>(VLOOKUP($A17,Base_dados!$A$5:$H$103,4,FALSE())-MIN(Base_dados!C$5:C$103))/(MAX(Base_dados!C$5:C$103)-MIN(Base_dados!C$5:C$103))</f>
        <v>7.3807380738073807E-3</v>
      </c>
      <c r="E17" s="59">
        <f>(VLOOKUP($A17,Base_dados!$A$5:$H$103,5,FALSE())-MIN(Tabela1[IND03
Complexidade Econômica]))/(MAX(Tabela1[IND03
Complexidade Econômica])-MIN(Tabela1[IND03
Complexidade Econômica]))</f>
        <v>0.24655159450629976</v>
      </c>
      <c r="F17" s="59">
        <f>VLOOKUP($A17,Base_dados!A:H,6,FALSE())</f>
        <v>0</v>
      </c>
      <c r="G17" s="59">
        <f>VLOOKUP($A17,Base_dados!$A$5:$H$103,7,FALSE())</f>
        <v>0</v>
      </c>
      <c r="H17" s="59">
        <f>(VLOOKUP(Tabela4[[#This Row],[CNAE]],Tabela1[],8,FALSE))/100</f>
        <v>1.29E-2</v>
      </c>
      <c r="I17" s="59">
        <f>(C17*Config_Indicadores!$G$4+D17*Config_Indicadores!$G$5+E17*Config_Indicadores!$G$6+F17*Config_Indicadores!$G$7+G17*Config_Indicadores!$G$7+H17*Config_Indicadores!$G$8)/Config_Indicadores!$G$11</f>
        <v>0.10610398887700902</v>
      </c>
      <c r="J17" s="60">
        <f>RANK(I17,Tabela4[Score Final],0)</f>
        <v>67</v>
      </c>
      <c r="K17" s="54">
        <f>VLOOKUP(Tabela4[[#This Row],[CNAE]],Síntese2!A:G,6,FALSE)</f>
        <v>206.12</v>
      </c>
      <c r="L17" s="52">
        <f>VLOOKUP(Tabela4[[#This Row],[CNAE]],Síntese2!A:G,3,FALSE)</f>
        <v>44621709.799999997</v>
      </c>
      <c r="M17" s="56" t="str">
        <f>IF(Tabela4[[#This Row],[Tx Variação]]&gt;=MEDIAN(Tabela4[Tx Variação]), "Alto","Baixo")</f>
        <v>Alto</v>
      </c>
      <c r="N17" s="56" t="str">
        <f>IF(Tabela4[[#This Row],[Volume compra 2025]]&gt;=MEDIAN(Tabela4[Volume compra 2025]), "Alto","Baixo")</f>
        <v>Alto</v>
      </c>
      <c r="O1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8" spans="1:15">
      <c r="A18" s="58" t="s">
        <v>139</v>
      </c>
      <c r="B18" s="16" t="s">
        <v>140</v>
      </c>
      <c r="C18" s="59">
        <f>(VLOOKUP($A18,Base_dados!$A$5:$H$103,3,FALSE())-MIN(Tabela1[IND01
Emprego]))/(MAX(Tabela1[IND01
Emprego])-MIN(Tabela1[IND01
Emprego]))</f>
        <v>0</v>
      </c>
      <c r="D18" s="59">
        <f>(VLOOKUP($A18,Base_dados!$A$5:$H$103,4,FALSE())-MIN(Base_dados!C$5:C$103))/(MAX(Base_dados!C$5:C$103)-MIN(Base_dados!C$5:C$103))</f>
        <v>0</v>
      </c>
      <c r="E18" s="59">
        <f>(VLOOKUP($A18,Base_dados!$A$5:$H$103,5,FALSE())-MIN(Tabela1[IND03
Complexidade Econômica]))/(MAX(Tabela1[IND03
Complexidade Econômica])-MIN(Tabela1[IND03
Complexidade Econômica]))</f>
        <v>0.87685775401638255</v>
      </c>
      <c r="F18" s="59">
        <f>VLOOKUP($A18,Base_dados!A:H,6,FALSE())</f>
        <v>0</v>
      </c>
      <c r="G18" s="59">
        <f>VLOOKUP($A18,Base_dados!$A$5:$H$103,7,FALSE())</f>
        <v>0</v>
      </c>
      <c r="H18" s="59">
        <f>(VLOOKUP(Tabela4[[#This Row],[CNAE]],Tabela1[],8,FALSE))/100</f>
        <v>0.99909999999999999</v>
      </c>
      <c r="I18" s="59">
        <f>(C18*Config_Indicadores!$G$4+D18*Config_Indicadores!$G$5+E18*Config_Indicadores!$G$6+F18*Config_Indicadores!$G$7+G18*Config_Indicadores!$G$7+H18*Config_Indicadores!$G$8)/Config_Indicadores!$G$11</f>
        <v>0.26799396485948324</v>
      </c>
      <c r="J18" s="60">
        <f>RANK(I18,Tabela4[Score Final],0)</f>
        <v>23</v>
      </c>
      <c r="K18" s="54">
        <f>VLOOKUP(Tabela4[[#This Row],[CNAE]],Síntese2!A:G,6,FALSE)</f>
        <v>56.25</v>
      </c>
      <c r="L18" s="52">
        <f>VLOOKUP(Tabela4[[#This Row],[CNAE]],Síntese2!A:G,3,FALSE)</f>
        <v>43604058.710000001</v>
      </c>
      <c r="M18" s="56" t="str">
        <f>IF(Tabela4[[#This Row],[Tx Variação]]&gt;=MEDIAN(Tabela4[Tx Variação]), "Alto","Baixo")</f>
        <v>Alto</v>
      </c>
      <c r="N18" s="56" t="str">
        <f>IF(Tabela4[[#This Row],[Volume compra 2025]]&gt;=MEDIAN(Tabela4[Volume compra 2025]), "Alto","Baixo")</f>
        <v>Alto</v>
      </c>
      <c r="O1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9" spans="1:15">
      <c r="A19" s="61" t="s">
        <v>151</v>
      </c>
      <c r="B19" s="62" t="s">
        <v>152</v>
      </c>
      <c r="C19" s="63">
        <f>(VLOOKUP($A19,Base_dados!$A$5:$H$103,3,FALSE())-MIN(Tabela1[IND01
Emprego]))/(MAX(Tabela1[IND01
Emprego])-MIN(Tabela1[IND01
Emprego]))</f>
        <v>5.9765976597659764E-3</v>
      </c>
      <c r="D19" s="63">
        <f>(VLOOKUP($A19,Base_dados!$A$5:$H$103,4,FALSE())-MIN(Base_dados!C$5:C$103))/(MAX(Base_dados!C$5:C$103)-MIN(Base_dados!C$5:C$103))</f>
        <v>2.5202520252025205E-4</v>
      </c>
      <c r="E19" s="63">
        <f>(VLOOKUP($A19,Base_dados!$A$5:$H$103,5,FALSE())-MIN(Tabela1[IND03
Complexidade Econômica]))/(MAX(Tabela1[IND03
Complexidade Econômica])-MIN(Tabela1[IND03
Complexidade Econômica]))</f>
        <v>0.84814408230348637</v>
      </c>
      <c r="F19" s="63">
        <f>VLOOKUP($A19,Base_dados!A:H,6,FALSE())</f>
        <v>0</v>
      </c>
      <c r="G19" s="63">
        <f>VLOOKUP($A19,Base_dados!$A$5:$H$103,7,FALSE())</f>
        <v>0</v>
      </c>
      <c r="H19" s="63">
        <f>(VLOOKUP(Tabela4[[#This Row],[CNAE]],Tabela1[],8,FALSE))/100</f>
        <v>0.86</v>
      </c>
      <c r="I19" s="63">
        <f>(C19*Config_Indicadores!$G$4+D19*Config_Indicadores!$G$5+E19*Config_Indicadores!$G$6+F19*Config_Indicadores!$G$7+G19*Config_Indicadores!$G$7+H19*Config_Indicadores!$G$8)/Config_Indicadores!$G$11</f>
        <v>0.24576418611793407</v>
      </c>
      <c r="J19" s="64">
        <f>RANK(I19,Tabela4[Score Final],0)</f>
        <v>32</v>
      </c>
      <c r="K19" s="65">
        <f>VLOOKUP(Tabela4[[#This Row],[CNAE]],Síntese2!A:G,6,FALSE)</f>
        <v>-68.17</v>
      </c>
      <c r="L19" s="66">
        <f>VLOOKUP(Tabela4[[#This Row],[CNAE]],Síntese2!A:G,3,FALSE)</f>
        <v>42369184.630000003</v>
      </c>
      <c r="M19" s="67" t="str">
        <f>IF(Tabela4[[#This Row],[Tx Variação]]&gt;=MEDIAN(Tabela4[Tx Variação]), "Alto","Baixo")</f>
        <v>Baixo</v>
      </c>
      <c r="N19" s="67" t="str">
        <f>IF(Tabela4[[#This Row],[Volume compra 2025]]&gt;=MEDIAN(Tabela4[Volume compra 2025]), "Alto","Baixo")</f>
        <v>Alto</v>
      </c>
      <c r="O1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0" spans="1:15">
      <c r="A20" s="58" t="s">
        <v>117</v>
      </c>
      <c r="B20" s="16" t="s">
        <v>118</v>
      </c>
      <c r="C20" s="59">
        <f>(VLOOKUP($A20,Base_dados!$A$5:$H$103,3,FALSE())-MIN(Tabela1[IND01
Emprego]))/(MAX(Tabela1[IND01
Emprego])-MIN(Tabela1[IND01
Emprego]))</f>
        <v>0.45555355535553554</v>
      </c>
      <c r="D20" s="59">
        <f>(VLOOKUP($A20,Base_dados!$A$5:$H$103,4,FALSE())-MIN(Base_dados!C$5:C$103))/(MAX(Base_dados!C$5:C$103)-MIN(Base_dados!C$5:C$103))</f>
        <v>1.3753375337533753E-2</v>
      </c>
      <c r="E20" s="59">
        <f>(VLOOKUP($A20,Base_dados!$A$5:$H$103,5,FALSE())-MIN(Tabela1[IND03
Complexidade Econômica]))/(MAX(Tabela1[IND03
Complexidade Econômica])-MIN(Tabela1[IND03
Complexidade Econômica]))</f>
        <v>0.60730960418854518</v>
      </c>
      <c r="F20" s="59">
        <f>VLOOKUP($A20,Base_dados!A:H,6,FALSE())</f>
        <v>0</v>
      </c>
      <c r="G20" s="59">
        <f>VLOOKUP($A20,Base_dados!$A$5:$H$103,7,FALSE())</f>
        <v>0</v>
      </c>
      <c r="H20" s="59">
        <f>(VLOOKUP(Tabela4[[#This Row],[CNAE]],Tabela1[],8,FALSE))/100</f>
        <v>2.1000000000000001E-2</v>
      </c>
      <c r="I20" s="59">
        <f>(C20*Config_Indicadores!$G$4+D20*Config_Indicadores!$G$5+E20*Config_Indicadores!$G$6+F20*Config_Indicadores!$G$7+G20*Config_Indicadores!$G$7+H20*Config_Indicadores!$G$8)/Config_Indicadores!$G$11</f>
        <v>0.22188144146244998</v>
      </c>
      <c r="J20" s="60">
        <f>RANK(I20,Tabela4[Score Final],0)</f>
        <v>43</v>
      </c>
      <c r="K20" s="54">
        <f>VLOOKUP(Tabela4[[#This Row],[CNAE]],Síntese2!A:G,6,FALSE)</f>
        <v>110.38</v>
      </c>
      <c r="L20" s="52">
        <f>VLOOKUP(Tabela4[[#This Row],[CNAE]],Síntese2!A:G,3,FALSE)</f>
        <v>31694552.649999999</v>
      </c>
      <c r="M20" s="56" t="str">
        <f>IF(Tabela4[[#This Row],[Tx Variação]]&gt;=MEDIAN(Tabela4[Tx Variação]), "Alto","Baixo")</f>
        <v>Alto</v>
      </c>
      <c r="N20" s="56" t="str">
        <f>IF(Tabela4[[#This Row],[Volume compra 2025]]&gt;=MEDIAN(Tabela4[Volume compra 2025]), "Alto","Baixo")</f>
        <v>Alto</v>
      </c>
      <c r="O2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1" spans="1:15">
      <c r="A21" s="58" t="s">
        <v>173</v>
      </c>
      <c r="B21" s="16" t="s">
        <v>174</v>
      </c>
      <c r="C21" s="59">
        <f>(VLOOKUP($A21,Base_dados!$A$5:$H$103,3,FALSE())-MIN(Tabela1[IND01
Emprego]))/(MAX(Tabela1[IND01
Emprego])-MIN(Tabela1[IND01
Emprego]))</f>
        <v>1.7677767776777677E-2</v>
      </c>
      <c r="D21" s="59">
        <f>(VLOOKUP($A21,Base_dados!$A$5:$H$103,4,FALSE())-MIN(Base_dados!C$5:C$103))/(MAX(Base_dados!C$5:C$103)-MIN(Base_dados!C$5:C$103))</f>
        <v>1.2601260126012602E-3</v>
      </c>
      <c r="E21" s="59">
        <f>(VLOOKUP($A21,Base_dados!$A$5:$H$103,5,FALSE())-MIN(Tabela1[IND03
Complexidade Econômica]))/(MAX(Tabela1[IND03
Complexidade Econômica])-MIN(Tabela1[IND03
Complexidade Econômica]))</f>
        <v>0.71634759252885438</v>
      </c>
      <c r="F21" s="59">
        <f>VLOOKUP($A21,Base_dados!A:H,6,FALSE())</f>
        <v>0</v>
      </c>
      <c r="G21" s="59">
        <f>VLOOKUP($A21,Base_dados!$A$5:$H$103,7,FALSE())</f>
        <v>0</v>
      </c>
      <c r="H21" s="59">
        <f>(VLOOKUP(Tabela4[[#This Row],[CNAE]],Tabela1[],8,FALSE))/100</f>
        <v>0.8105</v>
      </c>
      <c r="I21" s="59">
        <f>(C21*Config_Indicadores!$G$4+D21*Config_Indicadores!$G$5+E21*Config_Indicadores!$G$6+F21*Config_Indicadores!$G$7+G21*Config_Indicadores!$G$7+H21*Config_Indicadores!$G$8)/Config_Indicadores!$G$11</f>
        <v>0.2233518934421444</v>
      </c>
      <c r="J21" s="60">
        <f>RANK(I21,Tabela4[Score Final],0)</f>
        <v>42</v>
      </c>
      <c r="K21" s="54">
        <f>VLOOKUP(Tabela4[[#This Row],[CNAE]],Síntese2!A:G,6,FALSE)</f>
        <v>-12.57</v>
      </c>
      <c r="L21" s="52">
        <f>VLOOKUP(Tabela4[[#This Row],[CNAE]],Síntese2!A:G,3,FALSE)</f>
        <v>30452440.370000001</v>
      </c>
      <c r="M21" s="56" t="str">
        <f>IF(Tabela4[[#This Row],[Tx Variação]]&gt;=MEDIAN(Tabela4[Tx Variação]), "Alto","Baixo")</f>
        <v>Baixo</v>
      </c>
      <c r="N21" s="56" t="str">
        <f>IF(Tabela4[[#This Row],[Volume compra 2025]]&gt;=MEDIAN(Tabela4[Volume compra 2025]), "Alto","Baixo")</f>
        <v>Alto</v>
      </c>
      <c r="O2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2" spans="1:15">
      <c r="A22" s="58" t="s">
        <v>93</v>
      </c>
      <c r="B22" s="16" t="s">
        <v>94</v>
      </c>
      <c r="C22" s="59">
        <f>(VLOOKUP($A22,Base_dados!$A$5:$H$103,3,FALSE())-MIN(Tabela1[IND01
Emprego]))/(MAX(Tabela1[IND01
Emprego])-MIN(Tabela1[IND01
Emprego]))</f>
        <v>7.3843384338433848E-2</v>
      </c>
      <c r="D22" s="59">
        <f>(VLOOKUP($A22,Base_dados!$A$5:$H$103,4,FALSE())-MIN(Base_dados!C$5:C$103))/(MAX(Base_dados!C$5:C$103)-MIN(Base_dados!C$5:C$103))</f>
        <v>2.6642664266426641E-3</v>
      </c>
      <c r="E22" s="59">
        <f>(VLOOKUP($A22,Base_dados!$A$5:$H$103,5,FALSE())-MIN(Tabela1[IND03
Complexidade Econômica]))/(MAX(Tabela1[IND03
Complexidade Econômica])-MIN(Tabela1[IND03
Complexidade Econômica]))</f>
        <v>0.63571723126001245</v>
      </c>
      <c r="F22" s="59">
        <f>VLOOKUP($A22,Base_dados!A:H,6,FALSE())</f>
        <v>1</v>
      </c>
      <c r="G22" s="59">
        <f>VLOOKUP($A22,Base_dados!$A$5:$H$103,7,FALSE())</f>
        <v>0</v>
      </c>
      <c r="H22" s="59">
        <f>(VLOOKUP(Tabela4[[#This Row],[CNAE]],Tabela1[],8,FALSE))/100</f>
        <v>1.7000000000000001E-2</v>
      </c>
      <c r="I22" s="59">
        <f>(C22*Config_Indicadores!$G$4+D22*Config_Indicadores!$G$5+E22*Config_Indicadores!$G$6+F22*Config_Indicadores!$G$7+G22*Config_Indicadores!$G$7+H22*Config_Indicadores!$G$8)/Config_Indicadores!$G$11</f>
        <v>0.25758118090907467</v>
      </c>
      <c r="J22" s="60">
        <f>RANK(I22,Tabela4[Score Final],0)</f>
        <v>28</v>
      </c>
      <c r="K22" s="54">
        <f>VLOOKUP(Tabela4[[#This Row],[CNAE]],Síntese2!A:G,6,FALSE)</f>
        <v>-15.6</v>
      </c>
      <c r="L22" s="52">
        <f>VLOOKUP(Tabela4[[#This Row],[CNAE]],Síntese2!A:G,3,FALSE)</f>
        <v>20660760.16</v>
      </c>
      <c r="M22" s="56" t="str">
        <f>IF(Tabela4[[#This Row],[Tx Variação]]&gt;=MEDIAN(Tabela4[Tx Variação]), "Alto","Baixo")</f>
        <v>Baixo</v>
      </c>
      <c r="N22" s="56" t="str">
        <f>IF(Tabela4[[#This Row],[Volume compra 2025]]&gt;=MEDIAN(Tabela4[Volume compra 2025]), "Alto","Baixo")</f>
        <v>Alto</v>
      </c>
      <c r="O2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3" spans="1:15">
      <c r="A23" s="58" t="s">
        <v>201</v>
      </c>
      <c r="B23" s="16" t="s">
        <v>202</v>
      </c>
      <c r="C23" s="59">
        <f>(VLOOKUP($A23,Base_dados!$A$5:$H$103,3,FALSE())-MIN(Tabela1[IND01
Emprego]))/(MAX(Tabela1[IND01
Emprego])-MIN(Tabela1[IND01
Emprego]))</f>
        <v>2.5202520252025204E-3</v>
      </c>
      <c r="D23" s="59">
        <f>(VLOOKUP($A23,Base_dados!$A$5:$H$103,4,FALSE())-MIN(Base_dados!C$5:C$103))/(MAX(Base_dados!C$5:C$103)-MIN(Base_dados!C$5:C$103))</f>
        <v>2.5202520252025205E-4</v>
      </c>
      <c r="E23" s="59">
        <f>(VLOOKUP($A23,Base_dados!$A$5:$H$103,5,FALSE())-MIN(Tabela1[IND03
Complexidade Econômica]))/(MAX(Tabela1[IND03
Complexidade Econômica])-MIN(Tabela1[IND03
Complexidade Econômica]))</f>
        <v>0.7039281230564467</v>
      </c>
      <c r="F23" s="59">
        <f>VLOOKUP($A23,Base_dados!A:H,6,FALSE())</f>
        <v>0</v>
      </c>
      <c r="G23" s="59">
        <f>VLOOKUP($A23,Base_dados!$A$5:$H$103,7,FALSE())</f>
        <v>0</v>
      </c>
      <c r="H23" s="59">
        <f>(VLOOKUP(Tabela4[[#This Row],[CNAE]],Tabela1[],8,FALSE))/100</f>
        <v>0.36680000000000001</v>
      </c>
      <c r="I23" s="59">
        <f>(C23*Config_Indicadores!$G$4+D23*Config_Indicadores!$G$5+E23*Config_Indicadores!$G$6+F23*Config_Indicadores!$G$7+G23*Config_Indicadores!$G$7+H23*Config_Indicadores!$G$8)/Config_Indicadores!$G$11</f>
        <v>0.15371723604419602</v>
      </c>
      <c r="J23" s="60">
        <f>RANK(I23,Tabela4[Score Final],0)</f>
        <v>57</v>
      </c>
      <c r="K23" s="54">
        <f>VLOOKUP(Tabela4[[#This Row],[CNAE]],Síntese2!A:G,6,FALSE)</f>
        <v>117.24</v>
      </c>
      <c r="L23" s="52">
        <f>VLOOKUP(Tabela4[[#This Row],[CNAE]],Síntese2!A:G,3,FALSE)</f>
        <v>20558125.989999998</v>
      </c>
      <c r="M23" s="56" t="str">
        <f>IF(Tabela4[[#This Row],[Tx Variação]]&gt;=MEDIAN(Tabela4[Tx Variação]), "Alto","Baixo")</f>
        <v>Alto</v>
      </c>
      <c r="N23" s="56" t="str">
        <f>IF(Tabela4[[#This Row],[Volume compra 2025]]&gt;=MEDIAN(Tabela4[Volume compra 2025]), "Alto","Baixo")</f>
        <v>Alto</v>
      </c>
      <c r="O2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4" spans="1:15">
      <c r="A24" s="58" t="s">
        <v>163</v>
      </c>
      <c r="B24" s="16" t="s">
        <v>164</v>
      </c>
      <c r="C24" s="59">
        <f>(VLOOKUP($A24,Base_dados!$A$5:$H$103,3,FALSE())-MIN(Tabela1[IND01
Emprego]))/(MAX(Tabela1[IND01
Emprego])-MIN(Tabela1[IND01
Emprego]))</f>
        <v>1.7749774977497749E-2</v>
      </c>
      <c r="D24" s="59">
        <f>(VLOOKUP($A24,Base_dados!$A$5:$H$103,4,FALSE())-MIN(Base_dados!C$5:C$103))/(MAX(Base_dados!C$5:C$103)-MIN(Base_dados!C$5:C$103))</f>
        <v>1.5481548154815481E-3</v>
      </c>
      <c r="E24" s="59">
        <f>(VLOOKUP($A24,Base_dados!$A$5:$H$103,5,FALSE())-MIN(Tabela1[IND03
Complexidade Econômica]))/(MAX(Tabela1[IND03
Complexidade Econômica])-MIN(Tabela1[IND03
Complexidade Econômica]))</f>
        <v>0.76098744161306464</v>
      </c>
      <c r="F24" s="59">
        <f>VLOOKUP($A24,Base_dados!A:H,6,FALSE())</f>
        <v>0</v>
      </c>
      <c r="G24" s="59">
        <f>VLOOKUP($A24,Base_dados!$A$5:$H$103,7,FALSE())</f>
        <v>0</v>
      </c>
      <c r="H24" s="59">
        <f>(VLOOKUP(Tabela4[[#This Row],[CNAE]],Tabela1[],8,FALSE))/100</f>
        <v>0.6493000000000001</v>
      </c>
      <c r="I24" s="59">
        <f>(C24*Config_Indicadores!$G$4+D24*Config_Indicadores!$G$5+E24*Config_Indicadores!$G$6+F24*Config_Indicadores!$G$7+G24*Config_Indicadores!$G$7+H24*Config_Indicadores!$G$8)/Config_Indicadores!$G$11</f>
        <v>0.20676216376907738</v>
      </c>
      <c r="J24" s="60">
        <f>RANK(I24,Tabela4[Score Final],0)</f>
        <v>46</v>
      </c>
      <c r="K24" s="54">
        <f>VLOOKUP(Tabela4[[#This Row],[CNAE]],Síntese2!A:G,6,FALSE)</f>
        <v>190.58</v>
      </c>
      <c r="L24" s="52">
        <f>VLOOKUP(Tabela4[[#This Row],[CNAE]],Síntese2!A:G,3,FALSE)</f>
        <v>18239438.420000002</v>
      </c>
      <c r="M24" s="56" t="str">
        <f>IF(Tabela4[[#This Row],[Tx Variação]]&gt;=MEDIAN(Tabela4[Tx Variação]), "Alto","Baixo")</f>
        <v>Alto</v>
      </c>
      <c r="N24" s="56" t="str">
        <f>IF(Tabela4[[#This Row],[Volume compra 2025]]&gt;=MEDIAN(Tabela4[Volume compra 2025]), "Alto","Baixo")</f>
        <v>Alto</v>
      </c>
      <c r="O2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5" spans="1:15">
      <c r="A25" s="58" t="s">
        <v>65</v>
      </c>
      <c r="B25" s="16" t="s">
        <v>66</v>
      </c>
      <c r="C25" s="59">
        <f>(VLOOKUP($A25,Base_dados!$A$5:$H$103,3,FALSE())-MIN(Tabela1[IND01
Emprego]))/(MAX(Tabela1[IND01
Emprego])-MIN(Tabela1[IND01
Emprego]))</f>
        <v>0.73324932493249328</v>
      </c>
      <c r="D25" s="59">
        <f>(VLOOKUP($A25,Base_dados!$A$5:$H$103,4,FALSE())-MIN(Base_dados!C$5:C$103))/(MAX(Base_dados!C$5:C$103)-MIN(Base_dados!C$5:C$103))</f>
        <v>7.5859585958595863E-2</v>
      </c>
      <c r="E25" s="59">
        <f>(VLOOKUP($A25,Base_dados!$A$5:$H$103,5,FALSE())-MIN(Tabela1[IND03
Complexidade Econômica]))/(MAX(Tabela1[IND03
Complexidade Econômica])-MIN(Tabela1[IND03
Complexidade Econômica]))</f>
        <v>0.31143969938923444</v>
      </c>
      <c r="F25" s="59">
        <f>VLOOKUP($A25,Base_dados!A:H,6,FALSE())</f>
        <v>0</v>
      </c>
      <c r="G25" s="59">
        <f>VLOOKUP($A25,Base_dados!$A$5:$H$103,7,FALSE())</f>
        <v>0</v>
      </c>
      <c r="H25" s="59">
        <f>(VLOOKUP(Tabela4[[#This Row],[CNAE]],Tabela1[],8,FALSE))/100</f>
        <v>0.48060000000000003</v>
      </c>
      <c r="I25" s="59">
        <f>(C25*Config_Indicadores!$G$4+D25*Config_Indicadores!$G$5+E25*Config_Indicadores!$G$6+F25*Config_Indicadores!$G$7+G25*Config_Indicadores!$G$7+H25*Config_Indicadores!$G$8)/Config_Indicadores!$G$11</f>
        <v>0.33348541931611664</v>
      </c>
      <c r="J25" s="60">
        <f>RANK(I25,Tabela4[Score Final],0)</f>
        <v>11</v>
      </c>
      <c r="K25" s="54">
        <f>VLOOKUP(Tabela4[[#This Row],[CNAE]],Síntese2!A:G,6,FALSE)</f>
        <v>39.68</v>
      </c>
      <c r="L25" s="52">
        <f>VLOOKUP(Tabela4[[#This Row],[CNAE]],Síntese2!A:G,3,FALSE)</f>
        <v>17578312.59</v>
      </c>
      <c r="M25" s="56" t="str">
        <f>IF(Tabela4[[#This Row],[Tx Variação]]&gt;=MEDIAN(Tabela4[Tx Variação]), "Alto","Baixo")</f>
        <v>Alto</v>
      </c>
      <c r="N25" s="56" t="str">
        <f>IF(Tabela4[[#This Row],[Volume compra 2025]]&gt;=MEDIAN(Tabela4[Volume compra 2025]), "Alto","Baixo")</f>
        <v>Alto</v>
      </c>
      <c r="O2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6" spans="1:15">
      <c r="A26" s="58" t="s">
        <v>211</v>
      </c>
      <c r="B26" s="16" t="s">
        <v>212</v>
      </c>
      <c r="C26" s="59">
        <f>(VLOOKUP($A26,Base_dados!$A$5:$H$103,3,FALSE())-MIN(Tabela1[IND01
Emprego]))/(MAX(Tabela1[IND01
Emprego])-MIN(Tabela1[IND01
Emprego]))</f>
        <v>0.4127092709270927</v>
      </c>
      <c r="D26" s="59">
        <f>(VLOOKUP($A26,Base_dados!$A$5:$H$103,4,FALSE())-MIN(Base_dados!C$5:C$103))/(MAX(Base_dados!C$5:C$103)-MIN(Base_dados!C$5:C$103))</f>
        <v>2.5742574257425741E-2</v>
      </c>
      <c r="E26" s="59">
        <f>(VLOOKUP($A26,Base_dados!$A$5:$H$103,5,FALSE())-MIN(Tabela1[IND03
Complexidade Econômica]))/(MAX(Tabela1[IND03
Complexidade Econômica])-MIN(Tabela1[IND03
Complexidade Econômica]))</f>
        <v>0.48520387468236142</v>
      </c>
      <c r="F26" s="59">
        <f>VLOOKUP($A26,Base_dados!A:H,6,FALSE())</f>
        <v>0</v>
      </c>
      <c r="G26" s="59">
        <f>VLOOKUP($A26,Base_dados!$A$5:$H$103,7,FALSE())</f>
        <v>1</v>
      </c>
      <c r="H26" s="59">
        <f>(VLOOKUP(Tabela4[[#This Row],[CNAE]],Tabela1[],8,FALSE))/100</f>
        <v>0.1048</v>
      </c>
      <c r="I26" s="59">
        <f>(C26*Config_Indicadores!$G$4+D26*Config_Indicadores!$G$5+E26*Config_Indicadores!$G$6+F26*Config_Indicadores!$G$7+G26*Config_Indicadores!$G$7+H26*Config_Indicadores!$G$8)/Config_Indicadores!$G$11</f>
        <v>0.34873785582771039</v>
      </c>
      <c r="J26" s="60">
        <f>RANK(I26,Tabela4[Score Final],0)</f>
        <v>10</v>
      </c>
      <c r="K26" s="54">
        <f>VLOOKUP(Tabela4[[#This Row],[CNAE]],Síntese2!A:G,6,FALSE)</f>
        <v>299.32</v>
      </c>
      <c r="L26" s="52">
        <f>VLOOKUP(Tabela4[[#This Row],[CNAE]],Síntese2!A:G,3,FALSE)</f>
        <v>16400947.99</v>
      </c>
      <c r="M26" s="56" t="str">
        <f>IF(Tabela4[[#This Row],[Tx Variação]]&gt;=MEDIAN(Tabela4[Tx Variação]), "Alto","Baixo")</f>
        <v>Alto</v>
      </c>
      <c r="N26" s="56" t="str">
        <f>IF(Tabela4[[#This Row],[Volume compra 2025]]&gt;=MEDIAN(Tabela4[Volume compra 2025]), "Alto","Baixo")</f>
        <v>Alto</v>
      </c>
      <c r="O2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7" spans="1:15">
      <c r="A27" s="58" t="s">
        <v>209</v>
      </c>
      <c r="B27" s="16" t="s">
        <v>210</v>
      </c>
      <c r="C27" s="59">
        <f>(VLOOKUP($A27,Base_dados!$A$5:$H$103,3,FALSE())-MIN(Tabela1[IND01
Emprego]))/(MAX(Tabela1[IND01
Emprego])-MIN(Tabela1[IND01
Emprego]))</f>
        <v>5.9045904590459049E-3</v>
      </c>
      <c r="D27" s="59">
        <f>(VLOOKUP($A27,Base_dados!$A$5:$H$103,4,FALSE())-MIN(Base_dados!C$5:C$103))/(MAX(Base_dados!C$5:C$103)-MIN(Base_dados!C$5:C$103))</f>
        <v>2.5202520252025204E-3</v>
      </c>
      <c r="E27" s="59">
        <f>(VLOOKUP($A27,Base_dados!$A$5:$H$103,5,FALSE())-MIN(Tabela1[IND03
Complexidade Econômica]))/(MAX(Tabela1[IND03
Complexidade Econômica])-MIN(Tabela1[IND03
Complexidade Econômica]))</f>
        <v>0.43047409812599829</v>
      </c>
      <c r="F27" s="59">
        <f>VLOOKUP($A27,Base_dados!A:H,6,FALSE())</f>
        <v>0</v>
      </c>
      <c r="G27" s="59">
        <f>VLOOKUP($A27,Base_dados!$A$5:$H$103,7,FALSE())</f>
        <v>0</v>
      </c>
      <c r="H27" s="59">
        <f>(VLOOKUP(Tabela4[[#This Row],[CNAE]],Tabela1[],8,FALSE))/100</f>
        <v>0.59430000000000005</v>
      </c>
      <c r="I27" s="59">
        <f>(C27*Config_Indicadores!$G$4+D27*Config_Indicadores!$G$5+E27*Config_Indicadores!$G$6+F27*Config_Indicadores!$G$7+G27*Config_Indicadores!$G$7+H27*Config_Indicadores!$G$8)/Config_Indicadores!$G$11</f>
        <v>0.14844336158132751</v>
      </c>
      <c r="J27" s="60">
        <f>RANK(I27,Tabela4[Score Final],0)</f>
        <v>58</v>
      </c>
      <c r="K27" s="54">
        <f>VLOOKUP(Tabela4[[#This Row],[CNAE]],Síntese2!A:G,6,FALSE)</f>
        <v>82.86</v>
      </c>
      <c r="L27" s="52">
        <f>VLOOKUP(Tabela4[[#This Row],[CNAE]],Síntese2!A:G,3,FALSE)</f>
        <v>15966652.689999999</v>
      </c>
      <c r="M27" s="56" t="str">
        <f>IF(Tabela4[[#This Row],[Tx Variação]]&gt;=MEDIAN(Tabela4[Tx Variação]), "Alto","Baixo")</f>
        <v>Alto</v>
      </c>
      <c r="N27" s="56" t="str">
        <f>IF(Tabela4[[#This Row],[Volume compra 2025]]&gt;=MEDIAN(Tabela4[Volume compra 2025]), "Alto","Baixo")</f>
        <v>Alto</v>
      </c>
      <c r="O2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8" spans="1:15">
      <c r="A28" s="58" t="s">
        <v>153</v>
      </c>
      <c r="B28" s="16" t="s">
        <v>154</v>
      </c>
      <c r="C28" s="59">
        <f>(VLOOKUP($A28,Base_dados!$A$5:$H$103,3,FALSE())-MIN(Tabela1[IND01
Emprego]))/(MAX(Tabela1[IND01
Emprego])-MIN(Tabela1[IND01
Emprego]))</f>
        <v>8.6408640864086411E-4</v>
      </c>
      <c r="D28" s="59">
        <f>(VLOOKUP($A28,Base_dados!$A$5:$H$103,4,FALSE())-MIN(Base_dados!C$5:C$103))/(MAX(Base_dados!C$5:C$103)-MIN(Base_dados!C$5:C$103))</f>
        <v>7.200720072007201E-5</v>
      </c>
      <c r="E28" s="59">
        <f>(VLOOKUP($A28,Base_dados!$A$5:$H$103,5,FALSE())-MIN(Tabela1[IND03
Complexidade Econômica]))/(MAX(Tabela1[IND03
Complexidade Econômica])-MIN(Tabela1[IND03
Complexidade Econômica]))</f>
        <v>0.89129726792560626</v>
      </c>
      <c r="F28" s="59">
        <f>VLOOKUP($A28,Base_dados!A:H,6,FALSE())</f>
        <v>0</v>
      </c>
      <c r="G28" s="59">
        <f>VLOOKUP($A28,Base_dados!$A$5:$H$103,7,FALSE())</f>
        <v>1</v>
      </c>
      <c r="H28" s="59">
        <f>(VLOOKUP(Tabela4[[#This Row],[CNAE]],Tabela1[],8,FALSE))/100</f>
        <v>0.98060000000000003</v>
      </c>
      <c r="I28" s="59">
        <f>(C28*Config_Indicadores!$G$4+D28*Config_Indicadores!$G$5+E28*Config_Indicadores!$G$6+F28*Config_Indicadores!$G$7+G28*Config_Indicadores!$G$7+H28*Config_Indicadores!$G$8)/Config_Indicadores!$G$11</f>
        <v>0.41052820684908686</v>
      </c>
      <c r="J28" s="60">
        <f>RANK(I28,Tabela4[Score Final],0)</f>
        <v>4</v>
      </c>
      <c r="K28" s="54">
        <f>VLOOKUP(Tabela4[[#This Row],[CNAE]],Síntese2!A:G,6,FALSE)</f>
        <v>109.47</v>
      </c>
      <c r="L28" s="52">
        <f>VLOOKUP(Tabela4[[#This Row],[CNAE]],Síntese2!A:G,3,FALSE)</f>
        <v>13459898.359999999</v>
      </c>
      <c r="M28" s="56" t="str">
        <f>IF(Tabela4[[#This Row],[Tx Variação]]&gt;=MEDIAN(Tabela4[Tx Variação]), "Alto","Baixo")</f>
        <v>Alto</v>
      </c>
      <c r="N28" s="56" t="str">
        <f>IF(Tabela4[[#This Row],[Volume compra 2025]]&gt;=MEDIAN(Tabela4[Volume compra 2025]), "Alto","Baixo")</f>
        <v>Alto</v>
      </c>
      <c r="O2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9" spans="1:15">
      <c r="A29" s="58" t="s">
        <v>105</v>
      </c>
      <c r="B29" s="16" t="s">
        <v>106</v>
      </c>
      <c r="C29" s="59">
        <f>(VLOOKUP($A29,Base_dados!$A$5:$H$103,3,FALSE())-MIN(Tabela1[IND01
Emprego]))/(MAX(Tabela1[IND01
Emprego])-MIN(Tabela1[IND01
Emprego]))</f>
        <v>0.2095049504950495</v>
      </c>
      <c r="D29" s="59">
        <f>(VLOOKUP($A29,Base_dados!$A$5:$H$103,4,FALSE())-MIN(Base_dados!C$5:C$103))/(MAX(Base_dados!C$5:C$103)-MIN(Base_dados!C$5:C$103))</f>
        <v>6.8766876687668763E-3</v>
      </c>
      <c r="E29" s="59">
        <f>(VLOOKUP($A29,Base_dados!$A$5:$H$103,5,FALSE())-MIN(Tabela1[IND03
Complexidade Econômica]))/(MAX(Tabela1[IND03
Complexidade Econômica])-MIN(Tabela1[IND03
Complexidade Econômica]))</f>
        <v>0.53344222277822673</v>
      </c>
      <c r="F29" s="59">
        <f>VLOOKUP($A29,Base_dados!A:H,6,FALSE())</f>
        <v>0</v>
      </c>
      <c r="G29" s="59">
        <f>VLOOKUP($A29,Base_dados!$A$5:$H$103,7,FALSE())</f>
        <v>0</v>
      </c>
      <c r="H29" s="59">
        <f>(VLOOKUP(Tabela4[[#This Row],[CNAE]],Tabela1[],8,FALSE))/100</f>
        <v>1.7899999999999999E-2</v>
      </c>
      <c r="I29" s="59">
        <f>(C29*Config_Indicadores!$G$4+D29*Config_Indicadores!$G$5+E29*Config_Indicadores!$G$6+F29*Config_Indicadores!$G$7+G29*Config_Indicadores!$G$7+H29*Config_Indicadores!$G$8)/Config_Indicadores!$G$11</f>
        <v>0.13960411591958466</v>
      </c>
      <c r="J29" s="60">
        <f>RANK(I29,Tabela4[Score Final],0)</f>
        <v>60</v>
      </c>
      <c r="K29" s="54">
        <f>VLOOKUP(Tabela4[[#This Row],[CNAE]],Síntese2!A:G,6,FALSE)</f>
        <v>-32.119999999999997</v>
      </c>
      <c r="L29" s="52">
        <f>VLOOKUP(Tabela4[[#This Row],[CNAE]],Síntese2!A:G,3,FALSE)</f>
        <v>12163365.51</v>
      </c>
      <c r="M29" s="56" t="str">
        <f>IF(Tabela4[[#This Row],[Tx Variação]]&gt;=MEDIAN(Tabela4[Tx Variação]), "Alto","Baixo")</f>
        <v>Baixo</v>
      </c>
      <c r="N29" s="56" t="str">
        <f>IF(Tabela4[[#This Row],[Volume compra 2025]]&gt;=MEDIAN(Tabela4[Volume compra 2025]), "Alto","Baixo")</f>
        <v>Alto</v>
      </c>
      <c r="O2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0" spans="1:15">
      <c r="A30" s="58" t="s">
        <v>141</v>
      </c>
      <c r="B30" s="16" t="s">
        <v>142</v>
      </c>
      <c r="C30" s="59">
        <f>(VLOOKUP($A30,Base_dados!$A$5:$H$103,3,FALSE())-MIN(Tabela1[IND01
Emprego]))/(MAX(Tabela1[IND01
Emprego])-MIN(Tabela1[IND01
Emprego]))</f>
        <v>0.12619261926192618</v>
      </c>
      <c r="D30" s="59">
        <f>(VLOOKUP($A30,Base_dados!$A$5:$H$103,4,FALSE())-MIN(Base_dados!C$5:C$103))/(MAX(Base_dados!C$5:C$103)-MIN(Base_dados!C$5:C$103))</f>
        <v>8.5328532853285333E-3</v>
      </c>
      <c r="E30" s="59">
        <f>(VLOOKUP($A30,Base_dados!$A$5:$H$103,5,FALSE())-MIN(Tabela1[IND03
Complexidade Econômica]))/(MAX(Tabela1[IND03
Complexidade Econômica])-MIN(Tabela1[IND03
Complexidade Econômica]))</f>
        <v>0.63009824581100171</v>
      </c>
      <c r="F30" s="59">
        <f>VLOOKUP($A30,Base_dados!A:H,6,FALSE())</f>
        <v>0</v>
      </c>
      <c r="G30" s="59">
        <f>VLOOKUP($A30,Base_dados!$A$5:$H$103,7,FALSE())</f>
        <v>0</v>
      </c>
      <c r="H30" s="59">
        <f>(VLOOKUP(Tabela4[[#This Row],[CNAE]],Tabela1[],8,FALSE))/100</f>
        <v>0.48060000000000003</v>
      </c>
      <c r="I30" s="59">
        <f>(C30*Config_Indicadores!$G$4+D30*Config_Indicadores!$G$5+E30*Config_Indicadores!$G$6+F30*Config_Indicadores!$G$7+G30*Config_Indicadores!$G$7+H30*Config_Indicadores!$G$8)/Config_Indicadores!$G$11</f>
        <v>0.19594519108859751</v>
      </c>
      <c r="J30" s="60">
        <f>RANK(I30,Tabela4[Score Final],0)</f>
        <v>51</v>
      </c>
      <c r="K30" s="54">
        <f>VLOOKUP(Tabela4[[#This Row],[CNAE]],Síntese2!A:G,6,FALSE)</f>
        <v>77.58</v>
      </c>
      <c r="L30" s="52">
        <f>VLOOKUP(Tabela4[[#This Row],[CNAE]],Síntese2!A:G,3,FALSE)</f>
        <v>12127014.130000001</v>
      </c>
      <c r="M30" s="56" t="str">
        <f>IF(Tabela4[[#This Row],[Tx Variação]]&gt;=MEDIAN(Tabela4[Tx Variação]), "Alto","Baixo")</f>
        <v>Alto</v>
      </c>
      <c r="N30" s="56" t="str">
        <f>IF(Tabela4[[#This Row],[Volume compra 2025]]&gt;=MEDIAN(Tabela4[Volume compra 2025]), "Alto","Baixo")</f>
        <v>Alto</v>
      </c>
      <c r="O3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1" spans="1:15">
      <c r="A31" s="58" t="s">
        <v>75</v>
      </c>
      <c r="B31" s="16" t="s">
        <v>76</v>
      </c>
      <c r="C31" s="59">
        <f>(VLOOKUP($A31,Base_dados!$A$5:$H$103,3,FALSE())-MIN(Tabela1[IND01
Emprego]))/(MAX(Tabela1[IND01
Emprego])-MIN(Tabela1[IND01
Emprego]))</f>
        <v>0.11222322232223222</v>
      </c>
      <c r="D31" s="59">
        <f>(VLOOKUP($A31,Base_dados!$A$5:$H$103,4,FALSE())-MIN(Base_dados!C$5:C$103))/(MAX(Base_dados!C$5:C$103)-MIN(Base_dados!C$5:C$103))</f>
        <v>7.2727272727272727E-3</v>
      </c>
      <c r="E31" s="59">
        <f>(VLOOKUP($A31,Base_dados!$A$5:$H$103,5,FALSE())-MIN(Tabela1[IND03
Complexidade Econômica]))/(MAX(Tabela1[IND03
Complexidade Econômica])-MIN(Tabela1[IND03
Complexidade Econômica]))</f>
        <v>0.50456805630113721</v>
      </c>
      <c r="F31" s="59">
        <f>VLOOKUP($A31,Base_dados!A:H,6,FALSE())</f>
        <v>0</v>
      </c>
      <c r="G31" s="59">
        <f>VLOOKUP($A31,Base_dados!$A$5:$H$103,7,FALSE())</f>
        <v>1</v>
      </c>
      <c r="H31" s="59">
        <f>(VLOOKUP(Tabela4[[#This Row],[CNAE]],Tabela1[],8,FALSE))/100</f>
        <v>0.76300000000000001</v>
      </c>
      <c r="I31" s="59">
        <f>(C31*Config_Indicadores!$G$4+D31*Config_Indicadores!$G$5+E31*Config_Indicadores!$G$6+F31*Config_Indicadores!$G$7+G31*Config_Indicadores!$G$7+H31*Config_Indicadores!$G$8)/Config_Indicadores!$G$11</f>
        <v>0.35704103260261844</v>
      </c>
      <c r="J31" s="60">
        <f>RANK(I31,Tabela4[Score Final],0)</f>
        <v>9</v>
      </c>
      <c r="K31" s="54">
        <f>VLOOKUP(Tabela4[[#This Row],[CNAE]],Síntese2!A:G,6,FALSE)</f>
        <v>90.02</v>
      </c>
      <c r="L31" s="52">
        <f>VLOOKUP(Tabela4[[#This Row],[CNAE]],Síntese2!A:G,3,FALSE)</f>
        <v>11890405.279999999</v>
      </c>
      <c r="M31" s="56" t="str">
        <f>IF(Tabela4[[#This Row],[Tx Variação]]&gt;=MEDIAN(Tabela4[Tx Variação]), "Alto","Baixo")</f>
        <v>Alto</v>
      </c>
      <c r="N31" s="56" t="str">
        <f>IF(Tabela4[[#This Row],[Volume compra 2025]]&gt;=MEDIAN(Tabela4[Volume compra 2025]), "Alto","Baixo")</f>
        <v>Alto</v>
      </c>
      <c r="O3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2" spans="1:15">
      <c r="A32" s="58" t="s">
        <v>121</v>
      </c>
      <c r="B32" s="16" t="s">
        <v>122</v>
      </c>
      <c r="C32" s="59">
        <f>(VLOOKUP($A32,Base_dados!$A$5:$H$103,3,FALSE())-MIN(Tabela1[IND01
Emprego]))/(MAX(Tabela1[IND01
Emprego])-MIN(Tabela1[IND01
Emprego]))</f>
        <v>1.1845184518451846E-2</v>
      </c>
      <c r="D32" s="59">
        <f>(VLOOKUP($A32,Base_dados!$A$5:$H$103,4,FALSE())-MIN(Base_dados!C$5:C$103))/(MAX(Base_dados!C$5:C$103)-MIN(Base_dados!C$5:C$103))</f>
        <v>1.8001800180018001E-4</v>
      </c>
      <c r="E32" s="59">
        <f>(VLOOKUP($A32,Base_dados!$A$5:$H$103,5,FALSE())-MIN(Tabela1[IND03
Complexidade Econômica]))/(MAX(Tabela1[IND03
Complexidade Econômica])-MIN(Tabela1[IND03
Complexidade Econômica]))</f>
        <v>0.49586181560224396</v>
      </c>
      <c r="F32" s="59">
        <f>VLOOKUP($A32,Base_dados!A:H,6,FALSE())</f>
        <v>1</v>
      </c>
      <c r="G32" s="59">
        <f>VLOOKUP($A32,Base_dados!$A$5:$H$103,7,FALSE())</f>
        <v>1</v>
      </c>
      <c r="H32" s="59">
        <f>(VLOOKUP(Tabela4[[#This Row],[CNAE]],Tabela1[],8,FALSE))/100</f>
        <v>0.70579999999999998</v>
      </c>
      <c r="I32" s="59">
        <f>(C32*Config_Indicadores!$G$4+D32*Config_Indicadores!$G$5+E32*Config_Indicadores!$G$6+F32*Config_Indicadores!$G$7+G32*Config_Indicadores!$G$7+H32*Config_Indicadores!$G$8)/Config_Indicadores!$G$11</f>
        <v>0.46079031466299253</v>
      </c>
      <c r="J32" s="60">
        <f>RANK(I32,Tabela4[Score Final],0)</f>
        <v>3</v>
      </c>
      <c r="K32" s="54">
        <f>VLOOKUP(Tabela4[[#This Row],[CNAE]],Síntese2!A:G,6,FALSE)</f>
        <v>-16.96</v>
      </c>
      <c r="L32" s="52">
        <f>VLOOKUP(Tabela4[[#This Row],[CNAE]],Síntese2!A:G,3,FALSE)</f>
        <v>10912412.689999999</v>
      </c>
      <c r="M32" s="56" t="str">
        <f>IF(Tabela4[[#This Row],[Tx Variação]]&gt;=MEDIAN(Tabela4[Tx Variação]), "Alto","Baixo")</f>
        <v>Baixo</v>
      </c>
      <c r="N32" s="56" t="str">
        <f>IF(Tabela4[[#This Row],[Volume compra 2025]]&gt;=MEDIAN(Tabela4[Volume compra 2025]), "Alto","Baixo")</f>
        <v>Alto</v>
      </c>
      <c r="O3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3" spans="1:15">
      <c r="A33" s="61" t="s">
        <v>89</v>
      </c>
      <c r="B33" s="62" t="s">
        <v>90</v>
      </c>
      <c r="C33" s="63">
        <f>(VLOOKUP($A33,Base_dados!$A$5:$H$103,3,FALSE())-MIN(Tabela1[IND01
Emprego]))/(MAX(Tabela1[IND01
Emprego])-MIN(Tabela1[IND01
Emprego]))</f>
        <v>2.3690369036903691E-2</v>
      </c>
      <c r="D33" s="63">
        <f>(VLOOKUP($A33,Base_dados!$A$5:$H$103,4,FALSE())-MIN(Base_dados!C$5:C$103))/(MAX(Base_dados!C$5:C$103)-MIN(Base_dados!C$5:C$103))</f>
        <v>2.5202520252025205E-4</v>
      </c>
      <c r="E33" s="63">
        <f>(VLOOKUP($A33,Base_dados!$A$5:$H$103,5,FALSE())-MIN(Tabela1[IND03
Complexidade Econômica]))/(MAX(Tabela1[IND03
Complexidade Econômica])-MIN(Tabela1[IND03
Complexidade Econômica]))</f>
        <v>0.58900678811994989</v>
      </c>
      <c r="F33" s="63">
        <f>VLOOKUP($A33,Base_dados!A:H,6,FALSE())</f>
        <v>1</v>
      </c>
      <c r="G33" s="63">
        <f>VLOOKUP($A33,Base_dados!$A$5:$H$103,7,FALSE())</f>
        <v>0</v>
      </c>
      <c r="H33" s="63">
        <f>(VLOOKUP(Tabela4[[#This Row],[CNAE]],Tabela1[],8,FALSE))/100</f>
        <v>0.54899999999999993</v>
      </c>
      <c r="I33" s="63">
        <f>(C33*Config_Indicadores!$G$4+D33*Config_Indicadores!$G$5+E33*Config_Indicadores!$G$6+F33*Config_Indicadores!$G$7+G33*Config_Indicadores!$G$7+H33*Config_Indicadores!$G$8)/Config_Indicadores!$G$11</f>
        <v>0.3122342216280396</v>
      </c>
      <c r="J33" s="64">
        <f>RANK(I33,Tabela4[Score Final],0)</f>
        <v>20</v>
      </c>
      <c r="K33" s="65">
        <f>VLOOKUP(Tabela4[[#This Row],[CNAE]],Síntese2!A:G,6,FALSE)</f>
        <v>-0.84</v>
      </c>
      <c r="L33" s="66">
        <f>VLOOKUP(Tabela4[[#This Row],[CNAE]],Síntese2!A:G,3,FALSE)</f>
        <v>9123023.9499999993</v>
      </c>
      <c r="M33" s="67" t="str">
        <f>IF(Tabela4[[#This Row],[Tx Variação]]&gt;=MEDIAN(Tabela4[Tx Variação]), "Alto","Baixo")</f>
        <v>Baixo</v>
      </c>
      <c r="N33" s="67" t="str">
        <f>IF(Tabela4[[#This Row],[Volume compra 2025]]&gt;=MEDIAN(Tabela4[Volume compra 2025]), "Alto","Baixo")</f>
        <v>Alto</v>
      </c>
      <c r="O3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4" spans="1:15">
      <c r="A34" s="58" t="s">
        <v>135</v>
      </c>
      <c r="B34" s="16" t="s">
        <v>136</v>
      </c>
      <c r="C34" s="59">
        <f>(VLOOKUP($A34,Base_dados!$A$5:$H$103,3,FALSE())-MIN(Tabela1[IND01
Emprego]))/(MAX(Tabela1[IND01
Emprego])-MIN(Tabela1[IND01
Emprego]))</f>
        <v>1.1521152115211521E-2</v>
      </c>
      <c r="D34" s="59">
        <f>(VLOOKUP($A34,Base_dados!$A$5:$H$103,4,FALSE())-MIN(Base_dados!C$5:C$103))/(MAX(Base_dados!C$5:C$103)-MIN(Base_dados!C$5:C$103))</f>
        <v>2.8802880288028804E-4</v>
      </c>
      <c r="E34" s="59">
        <f>(VLOOKUP($A34,Base_dados!$A$5:$H$103,5,FALSE())-MIN(Tabela1[IND03
Complexidade Econômica]))/(MAX(Tabela1[IND03
Complexidade Econômica])-MIN(Tabela1[IND03
Complexidade Econômica]))</f>
        <v>0.6426114918383613</v>
      </c>
      <c r="F34" s="59">
        <f>VLOOKUP($A34,Base_dados!A:H,6,FALSE())</f>
        <v>0</v>
      </c>
      <c r="G34" s="59">
        <f>VLOOKUP($A34,Base_dados!$A$5:$H$103,7,FALSE())</f>
        <v>0</v>
      </c>
      <c r="H34" s="59">
        <f>(VLOOKUP(Tabela4[[#This Row],[CNAE]],Tabela1[],8,FALSE))/100</f>
        <v>0</v>
      </c>
      <c r="I34" s="59">
        <f>(C34*Config_Indicadores!$G$4+D34*Config_Indicadores!$G$5+E34*Config_Indicadores!$G$6+F34*Config_Indicadores!$G$7+G34*Config_Indicadores!$G$7+H34*Config_Indicadores!$G$8)/Config_Indicadores!$G$11</f>
        <v>9.5134546410237802E-2</v>
      </c>
      <c r="J34" s="60">
        <f>RANK(I34,Tabela4[Score Final],0)</f>
        <v>70</v>
      </c>
      <c r="K34" s="54">
        <f>VLOOKUP(Tabela4[[#This Row],[CNAE]],Síntese2!A:G,6,FALSE)</f>
        <v>510.62</v>
      </c>
      <c r="L34" s="52">
        <f>VLOOKUP(Tabela4[[#This Row],[CNAE]],Síntese2!A:G,3,FALSE)</f>
        <v>8698702.0899999999</v>
      </c>
      <c r="M34" s="56" t="str">
        <f>IF(Tabela4[[#This Row],[Tx Variação]]&gt;=MEDIAN(Tabela4[Tx Variação]), "Alto","Baixo")</f>
        <v>Alto</v>
      </c>
      <c r="N34" s="56" t="str">
        <f>IF(Tabela4[[#This Row],[Volume compra 2025]]&gt;=MEDIAN(Tabela4[Volume compra 2025]), "Alto","Baixo")</f>
        <v>Alto</v>
      </c>
      <c r="O3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5" spans="1:15">
      <c r="A35" s="58" t="s">
        <v>69</v>
      </c>
      <c r="B35" s="16" t="s">
        <v>70</v>
      </c>
      <c r="C35" s="59">
        <f>(VLOOKUP($A35,Base_dados!$A$5:$H$103,3,FALSE())-MIN(Tabela1[IND01
Emprego]))/(MAX(Tabela1[IND01
Emprego])-MIN(Tabela1[IND01
Emprego]))</f>
        <v>0.15661566156615661</v>
      </c>
      <c r="D35" s="59">
        <f>(VLOOKUP($A35,Base_dados!$A$5:$H$103,4,FALSE())-MIN(Base_dados!C$5:C$103))/(MAX(Base_dados!C$5:C$103)-MIN(Base_dados!C$5:C$103))</f>
        <v>2.1602160216021601E-3</v>
      </c>
      <c r="E35" s="59">
        <f>(VLOOKUP($A35,Base_dados!$A$5:$H$103,5,FALSE())-MIN(Tabela1[IND03
Complexidade Econômica]))/(MAX(Tabela1[IND03
Complexidade Econômica])-MIN(Tabela1[IND03
Complexidade Econômica]))</f>
        <v>0.29405158041315027</v>
      </c>
      <c r="F35" s="59">
        <f>VLOOKUP($A35,Base_dados!A:H,6,FALSE())</f>
        <v>0</v>
      </c>
      <c r="G35" s="59">
        <f>VLOOKUP($A35,Base_dados!$A$5:$H$103,7,FALSE())</f>
        <v>0</v>
      </c>
      <c r="H35" s="59">
        <f>(VLOOKUP(Tabela4[[#This Row],[CNAE]],Tabela1[],8,FALSE))/100</f>
        <v>2.07E-2</v>
      </c>
      <c r="I35" s="59">
        <f>(C35*Config_Indicadores!$G$4+D35*Config_Indicadores!$G$5+E35*Config_Indicadores!$G$6+F35*Config_Indicadores!$G$7+G35*Config_Indicadores!$G$7+H35*Config_Indicadores!$G$8)/Config_Indicadores!$G$11</f>
        <v>9.0020445652437955E-2</v>
      </c>
      <c r="J35" s="60">
        <f>RANK(I35,Tabela4[Score Final],0)</f>
        <v>73</v>
      </c>
      <c r="K35" s="54">
        <f>VLOOKUP(Tabela4[[#This Row],[CNAE]],Síntese2!A:G,6,FALSE)</f>
        <v>16.77</v>
      </c>
      <c r="L35" s="52">
        <f>VLOOKUP(Tabela4[[#This Row],[CNAE]],Síntese2!A:G,3,FALSE)</f>
        <v>8187866.4699999997</v>
      </c>
      <c r="M35" s="56" t="str">
        <f>IF(Tabela4[[#This Row],[Tx Variação]]&gt;=MEDIAN(Tabela4[Tx Variação]), "Alto","Baixo")</f>
        <v>Alto</v>
      </c>
      <c r="N35" s="56" t="str">
        <f>IF(Tabela4[[#This Row],[Volume compra 2025]]&gt;=MEDIAN(Tabela4[Volume compra 2025]), "Alto","Baixo")</f>
        <v>Alto</v>
      </c>
      <c r="O3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6" spans="1:15">
      <c r="A36" s="58" t="s">
        <v>189</v>
      </c>
      <c r="B36" s="16" t="s">
        <v>190</v>
      </c>
      <c r="C36" s="59">
        <f>(VLOOKUP($A36,Base_dados!$A$5:$H$103,3,FALSE())-MIN(Tabela1[IND01
Emprego]))/(MAX(Tabela1[IND01
Emprego])-MIN(Tabela1[IND01
Emprego]))</f>
        <v>8.3888388838883887E-3</v>
      </c>
      <c r="D36" s="59">
        <f>(VLOOKUP($A36,Base_dados!$A$5:$H$103,4,FALSE())-MIN(Base_dados!C$5:C$103))/(MAX(Base_dados!C$5:C$103)-MIN(Base_dados!C$5:C$103))</f>
        <v>1.2601260126012602E-3</v>
      </c>
      <c r="E36" s="59">
        <f>(VLOOKUP($A36,Base_dados!$A$5:$H$103,5,FALSE())-MIN(Tabela1[IND03
Complexidade Econômica]))/(MAX(Tabela1[IND03
Complexidade Econômica])-MIN(Tabela1[IND03
Complexidade Econômica]))</f>
        <v>0.80818108473963035</v>
      </c>
      <c r="F36" s="59">
        <f>VLOOKUP($A36,Base_dados!A:H,6,FALSE())</f>
        <v>0</v>
      </c>
      <c r="G36" s="59">
        <f>VLOOKUP($A36,Base_dados!$A$5:$H$103,7,FALSE())</f>
        <v>0</v>
      </c>
      <c r="H36" s="59">
        <f>(VLOOKUP(Tabela4[[#This Row],[CNAE]],Tabela1[],8,FALSE))/100</f>
        <v>0.18760000000000002</v>
      </c>
      <c r="I36" s="59">
        <f>(C36*Config_Indicadores!$G$4+D36*Config_Indicadores!$G$5+E36*Config_Indicadores!$G$6+F36*Config_Indicadores!$G$7+G36*Config_Indicadores!$G$7+H36*Config_Indicadores!$G$8)/Config_Indicadores!$G$11</f>
        <v>0.14483126978857261</v>
      </c>
      <c r="J36" s="60">
        <f>RANK(I36,Tabela4[Score Final],0)</f>
        <v>59</v>
      </c>
      <c r="K36" s="54">
        <f>VLOOKUP(Tabela4[[#This Row],[CNAE]],Síntese2!A:G,6,FALSE)</f>
        <v>207.68</v>
      </c>
      <c r="L36" s="52">
        <f>VLOOKUP(Tabela4[[#This Row],[CNAE]],Síntese2!A:G,3,FALSE)</f>
        <v>8100466.3399999999</v>
      </c>
      <c r="M36" s="56" t="str">
        <f>IF(Tabela4[[#This Row],[Tx Variação]]&gt;=MEDIAN(Tabela4[Tx Variação]), "Alto","Baixo")</f>
        <v>Alto</v>
      </c>
      <c r="N36" s="56" t="str">
        <f>IF(Tabela4[[#This Row],[Volume compra 2025]]&gt;=MEDIAN(Tabela4[Volume compra 2025]), "Alto","Baixo")</f>
        <v>Alto</v>
      </c>
      <c r="O3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7" spans="1:15">
      <c r="A37" s="58" t="s">
        <v>109</v>
      </c>
      <c r="B37" s="16" t="s">
        <v>110</v>
      </c>
      <c r="C37" s="59">
        <f>(VLOOKUP($A37,Base_dados!$A$5:$H$103,3,FALSE())-MIN(Tabela1[IND01
Emprego]))/(MAX(Tabela1[IND01
Emprego])-MIN(Tabela1[IND01
Emprego]))</f>
        <v>4.0036003600360033E-2</v>
      </c>
      <c r="D37" s="59">
        <f>(VLOOKUP($A37,Base_dados!$A$5:$H$103,4,FALSE())-MIN(Base_dados!C$5:C$103))/(MAX(Base_dados!C$5:C$103)-MIN(Base_dados!C$5:C$103))</f>
        <v>1.6201620162016202E-3</v>
      </c>
      <c r="E37" s="59">
        <f>(VLOOKUP($A37,Base_dados!$A$5:$H$103,5,FALSE())-MIN(Tabela1[IND03
Complexidade Econômica]))/(MAX(Tabela1[IND03
Complexidade Econômica])-MIN(Tabela1[IND03
Complexidade Econômica]))</f>
        <v>0.66273619426919872</v>
      </c>
      <c r="F37" s="59">
        <f>VLOOKUP($A37,Base_dados!A:H,6,FALSE())</f>
        <v>1</v>
      </c>
      <c r="G37" s="59">
        <f>VLOOKUP($A37,Base_dados!$A$5:$H$103,7,FALSE())</f>
        <v>0</v>
      </c>
      <c r="H37" s="59">
        <f>(VLOOKUP(Tabela4[[#This Row],[CNAE]],Tabela1[],8,FALSE))/100</f>
        <v>0.4788</v>
      </c>
      <c r="I37" s="59">
        <f>(C37*Config_Indicadores!$G$4+D37*Config_Indicadores!$G$5+E37*Config_Indicadores!$G$6+F37*Config_Indicadores!$G$7+G37*Config_Indicadores!$G$7+H37*Config_Indicadores!$G$8)/Config_Indicadores!$G$11</f>
        <v>0.31760405192658864</v>
      </c>
      <c r="J37" s="60">
        <f>RANK(I37,Tabela4[Score Final],0)</f>
        <v>18</v>
      </c>
      <c r="K37" s="54">
        <f>VLOOKUP(Tabela4[[#This Row],[CNAE]],Síntese2!A:G,6,FALSE)</f>
        <v>-28.64</v>
      </c>
      <c r="L37" s="52">
        <f>VLOOKUP(Tabela4[[#This Row],[CNAE]],Síntese2!A:G,3,FALSE)</f>
        <v>7770695.4100000001</v>
      </c>
      <c r="M37" s="56" t="str">
        <f>IF(Tabela4[[#This Row],[Tx Variação]]&gt;=MEDIAN(Tabela4[Tx Variação]), "Alto","Baixo")</f>
        <v>Baixo</v>
      </c>
      <c r="N37" s="56" t="str">
        <f>IF(Tabela4[[#This Row],[Volume compra 2025]]&gt;=MEDIAN(Tabela4[Volume compra 2025]), "Alto","Baixo")</f>
        <v>Alto</v>
      </c>
      <c r="O3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8" spans="1:15">
      <c r="A38" s="58" t="s">
        <v>199</v>
      </c>
      <c r="B38" s="16" t="s">
        <v>200</v>
      </c>
      <c r="C38" s="59">
        <f>(VLOOKUP($A38,Base_dados!$A$5:$H$103,3,FALSE())-MIN(Tabela1[IND01
Emprego]))/(MAX(Tabela1[IND01
Emprego])-MIN(Tabela1[IND01
Emprego]))</f>
        <v>1.0801080108010801E-4</v>
      </c>
      <c r="D38" s="59">
        <f>(VLOOKUP($A38,Base_dados!$A$5:$H$103,4,FALSE())-MIN(Base_dados!C$5:C$103))/(MAX(Base_dados!C$5:C$103)-MIN(Base_dados!C$5:C$103))</f>
        <v>7.200720072007201E-5</v>
      </c>
      <c r="E38" s="59">
        <f>(VLOOKUP($A38,Base_dados!$A$5:$H$103,5,FALSE())-MIN(Tabela1[IND03
Complexidade Econômica]))/(MAX(Tabela1[IND03
Complexidade Econômica])-MIN(Tabela1[IND03
Complexidade Econômica]))</f>
        <v>0.79331574847448638</v>
      </c>
      <c r="F38" s="59">
        <f>VLOOKUP($A38,Base_dados!A:H,6,FALSE())</f>
        <v>0</v>
      </c>
      <c r="G38" s="59">
        <f>VLOOKUP($A38,Base_dados!$A$5:$H$103,7,FALSE())</f>
        <v>0</v>
      </c>
      <c r="H38" s="59">
        <f>(VLOOKUP(Tabela4[[#This Row],[CNAE]],Tabela1[],8,FALSE))/100</f>
        <v>0.9484999999999999</v>
      </c>
      <c r="I38" s="59">
        <f>(C38*Config_Indicadores!$G$4+D38*Config_Indicadores!$G$5+E38*Config_Indicadores!$G$6+F38*Config_Indicadores!$G$7+G38*Config_Indicadores!$G$7+H38*Config_Indicadores!$G$8)/Config_Indicadores!$G$11</f>
        <v>0.24887196818248095</v>
      </c>
      <c r="J38" s="60">
        <f>RANK(I38,Tabela4[Score Final],0)</f>
        <v>31</v>
      </c>
      <c r="K38" s="54">
        <f>VLOOKUP(Tabela4[[#This Row],[CNAE]],Síntese2!A:G,6,FALSE)</f>
        <v>3526.89</v>
      </c>
      <c r="L38" s="52">
        <f>VLOOKUP(Tabela4[[#This Row],[CNAE]],Síntese2!A:G,3,FALSE)</f>
        <v>7648286.7599999998</v>
      </c>
      <c r="M38" s="56" t="str">
        <f>IF(Tabela4[[#This Row],[Tx Variação]]&gt;=MEDIAN(Tabela4[Tx Variação]), "Alto","Baixo")</f>
        <v>Alto</v>
      </c>
      <c r="N38" s="56" t="str">
        <f>IF(Tabela4[[#This Row],[Volume compra 2025]]&gt;=MEDIAN(Tabela4[Volume compra 2025]), "Alto","Baixo")</f>
        <v>Alto</v>
      </c>
      <c r="O3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9" spans="1:15">
      <c r="A39" s="58" t="s">
        <v>143</v>
      </c>
      <c r="B39" s="16" t="s">
        <v>144</v>
      </c>
      <c r="C39" s="59">
        <f>(VLOOKUP($A39,Base_dados!$A$5:$H$103,3,FALSE())-MIN(Tabela1[IND01
Emprego]))/(MAX(Tabela1[IND01
Emprego])-MIN(Tabela1[IND01
Emprego]))</f>
        <v>5.2565256525652568E-3</v>
      </c>
      <c r="D39" s="59">
        <f>(VLOOKUP($A39,Base_dados!$A$5:$H$103,4,FALSE())-MIN(Base_dados!C$5:C$103))/(MAX(Base_dados!C$5:C$103)-MIN(Base_dados!C$5:C$103))</f>
        <v>3.6003600360036002E-4</v>
      </c>
      <c r="E39" s="59">
        <f>(VLOOKUP($A39,Base_dados!$A$5:$H$103,5,FALSE())-MIN(Tabela1[IND03
Complexidade Econômica]))/(MAX(Tabela1[IND03
Complexidade Econômica])-MIN(Tabela1[IND03
Complexidade Econômica]))</f>
        <v>0.83444399843641037</v>
      </c>
      <c r="F39" s="59">
        <f>VLOOKUP($A39,Base_dados!A:H,6,FALSE())</f>
        <v>0</v>
      </c>
      <c r="G39" s="59">
        <f>VLOOKUP($A39,Base_dados!$A$5:$H$103,7,FALSE())</f>
        <v>1</v>
      </c>
      <c r="H39" s="59">
        <f>(VLOOKUP(Tabela4[[#This Row],[CNAE]],Tabela1[],8,FALSE))/100</f>
        <v>0.35450000000000004</v>
      </c>
      <c r="I39" s="59">
        <f>(C39*Config_Indicadores!$G$4+D39*Config_Indicadores!$G$5+E39*Config_Indicadores!$G$6+F39*Config_Indicadores!$G$7+G39*Config_Indicadores!$G$7+H39*Config_Indicadores!$G$8)/Config_Indicadores!$G$11</f>
        <v>0.31425958367787732</v>
      </c>
      <c r="J39" s="60">
        <f>RANK(I39,Tabela4[Score Final],0)</f>
        <v>19</v>
      </c>
      <c r="K39" s="54">
        <f>VLOOKUP(Tabela4[[#This Row],[CNAE]],Síntese2!A:G,6,FALSE)</f>
        <v>1.53</v>
      </c>
      <c r="L39" s="52">
        <f>VLOOKUP(Tabela4[[#This Row],[CNAE]],Síntese2!A:G,3,FALSE)</f>
        <v>7573527.3700000001</v>
      </c>
      <c r="M39" s="56" t="str">
        <f>IF(Tabela4[[#This Row],[Tx Variação]]&gt;=MEDIAN(Tabela4[Tx Variação]), "Alto","Baixo")</f>
        <v>Alto</v>
      </c>
      <c r="N39" s="56" t="str">
        <f>IF(Tabela4[[#This Row],[Volume compra 2025]]&gt;=MEDIAN(Tabela4[Volume compra 2025]), "Alto","Baixo")</f>
        <v>Alto</v>
      </c>
      <c r="O3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0" spans="1:15">
      <c r="A40" s="58" t="s">
        <v>147</v>
      </c>
      <c r="B40" s="16" t="s">
        <v>148</v>
      </c>
      <c r="C40" s="59">
        <f>(VLOOKUP($A40,Base_dados!$A$5:$H$103,3,FALSE())-MIN(Tabela1[IND01
Emprego]))/(MAX(Tabela1[IND01
Emprego])-MIN(Tabela1[IND01
Emprego]))</f>
        <v>3.9243924392439247E-3</v>
      </c>
      <c r="D40" s="59">
        <f>(VLOOKUP($A40,Base_dados!$A$5:$H$103,4,FALSE())-MIN(Base_dados!C$5:C$103))/(MAX(Base_dados!C$5:C$103)-MIN(Base_dados!C$5:C$103))</f>
        <v>1.8001800180018001E-4</v>
      </c>
      <c r="E40" s="59">
        <f>(VLOOKUP($A40,Base_dados!$A$5:$H$103,5,FALSE())-MIN(Tabela1[IND03
Complexidade Econômica]))/(MAX(Tabela1[IND03
Complexidade Econômica])-MIN(Tabela1[IND03
Complexidade Econômica]))</f>
        <v>0.91432787857358055</v>
      </c>
      <c r="F40" s="59">
        <f>VLOOKUP($A40,Base_dados!A:H,6,FALSE())</f>
        <v>0</v>
      </c>
      <c r="G40" s="59">
        <f>VLOOKUP($A40,Base_dados!$A$5:$H$103,7,FALSE())</f>
        <v>0</v>
      </c>
      <c r="H40" s="59">
        <f>(VLOOKUP(Tabela4[[#This Row],[CNAE]],Tabela1[],8,FALSE))/100</f>
        <v>0.89090000000000003</v>
      </c>
      <c r="I40" s="59">
        <f>(C40*Config_Indicadores!$G$4+D40*Config_Indicadores!$G$5+E40*Config_Indicadores!$G$6+F40*Config_Indicadores!$G$7+G40*Config_Indicadores!$G$7+H40*Config_Indicadores!$G$8)/Config_Indicadores!$G$11</f>
        <v>0.25903666877912407</v>
      </c>
      <c r="J40" s="60">
        <f>RANK(I40,Tabela4[Score Final],0)</f>
        <v>26</v>
      </c>
      <c r="K40" s="54">
        <f>VLOOKUP(Tabela4[[#This Row],[CNAE]],Síntese2!A:G,6,FALSE)</f>
        <v>132.69</v>
      </c>
      <c r="L40" s="52">
        <f>VLOOKUP(Tabela4[[#This Row],[CNAE]],Síntese2!A:G,3,FALSE)</f>
        <v>7058865.4100000001</v>
      </c>
      <c r="M40" s="56" t="str">
        <f>IF(Tabela4[[#This Row],[Tx Variação]]&gt;=MEDIAN(Tabela4[Tx Variação]), "Alto","Baixo")</f>
        <v>Alto</v>
      </c>
      <c r="N40" s="56" t="str">
        <f>IF(Tabela4[[#This Row],[Volume compra 2025]]&gt;=MEDIAN(Tabela4[Volume compra 2025]), "Alto","Baixo")</f>
        <v>Alto</v>
      </c>
      <c r="O4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1" spans="1:15">
      <c r="A41" s="58" t="s">
        <v>115</v>
      </c>
      <c r="B41" s="16" t="s">
        <v>116</v>
      </c>
      <c r="C41" s="59">
        <f>(VLOOKUP($A41,Base_dados!$A$5:$H$103,3,FALSE())-MIN(Tabela1[IND01
Emprego]))/(MAX(Tabela1[IND01
Emprego])-MIN(Tabela1[IND01
Emprego]))</f>
        <v>0.28136813681368139</v>
      </c>
      <c r="D41" s="59">
        <f>(VLOOKUP($A41,Base_dados!$A$5:$H$103,4,FALSE())-MIN(Base_dados!C$5:C$103))/(MAX(Base_dados!C$5:C$103)-MIN(Base_dados!C$5:C$103))</f>
        <v>4.1404140414041408E-3</v>
      </c>
      <c r="E41" s="59">
        <f>(VLOOKUP($A41,Base_dados!$A$5:$H$103,5,FALSE())-MIN(Tabela1[IND03
Complexidade Econômica]))/(MAX(Tabela1[IND03
Complexidade Econômica])-MIN(Tabela1[IND03
Complexidade Econômica]))</f>
        <v>0.60675984008564898</v>
      </c>
      <c r="F41" s="59">
        <f>VLOOKUP($A41,Base_dados!A:H,6,FALSE())</f>
        <v>0</v>
      </c>
      <c r="G41" s="59">
        <f>VLOOKUP($A41,Base_dados!$A$5:$H$103,7,FALSE())</f>
        <v>0</v>
      </c>
      <c r="H41" s="59">
        <f>(VLOOKUP(Tabela4[[#This Row],[CNAE]],Tabela1[],8,FALSE))/100</f>
        <v>0.31879999999999997</v>
      </c>
      <c r="I41" s="59">
        <f>(C41*Config_Indicadores!$G$4+D41*Config_Indicadores!$G$5+E41*Config_Indicadores!$G$6+F41*Config_Indicadores!$G$7+G41*Config_Indicadores!$G$7+H41*Config_Indicadores!$G$8)/Config_Indicadores!$G$11</f>
        <v>0.21320521825063082</v>
      </c>
      <c r="J41" s="60">
        <f>RANK(I41,Tabela4[Score Final],0)</f>
        <v>44</v>
      </c>
      <c r="K41" s="54">
        <f>VLOOKUP(Tabela4[[#This Row],[CNAE]],Síntese2!A:G,6,FALSE)</f>
        <v>12.62</v>
      </c>
      <c r="L41" s="52">
        <f>VLOOKUP(Tabela4[[#This Row],[CNAE]],Síntese2!A:G,3,FALSE)</f>
        <v>5892364.5</v>
      </c>
      <c r="M41" s="56" t="str">
        <f>IF(Tabela4[[#This Row],[Tx Variação]]&gt;=MEDIAN(Tabela4[Tx Variação]), "Alto","Baixo")</f>
        <v>Alto</v>
      </c>
      <c r="N41" s="56" t="str">
        <f>IF(Tabela4[[#This Row],[Volume compra 2025]]&gt;=MEDIAN(Tabela4[Volume compra 2025]), "Alto","Baixo")</f>
        <v>Alto</v>
      </c>
      <c r="O4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2" spans="1:15">
      <c r="A42" s="58" t="s">
        <v>95</v>
      </c>
      <c r="B42" s="16" t="s">
        <v>96</v>
      </c>
      <c r="C42" s="59">
        <f>(VLOOKUP($A42,Base_dados!$A$5:$H$103,3,FALSE())-MIN(Tabela1[IND01
Emprego]))/(MAX(Tabela1[IND01
Emprego])-MIN(Tabela1[IND01
Emprego]))</f>
        <v>0.10300630063006301</v>
      </c>
      <c r="D42" s="59">
        <f>(VLOOKUP($A42,Base_dados!$A$5:$H$103,4,FALSE())-MIN(Base_dados!C$5:C$103))/(MAX(Base_dados!C$5:C$103)-MIN(Base_dados!C$5:C$103))</f>
        <v>1.9873987398739874E-2</v>
      </c>
      <c r="E42" s="59">
        <f>(VLOOKUP($A42,Base_dados!$A$5:$H$103,5,FALSE())-MIN(Tabela1[IND03
Complexidade Econômica]))/(MAX(Tabela1[IND03
Complexidade Econômica])-MIN(Tabela1[IND03
Complexidade Econômica]))</f>
        <v>0.43912555482755405</v>
      </c>
      <c r="F42" s="59">
        <f>VLOOKUP($A42,Base_dados!A:H,6,FALSE())</f>
        <v>0</v>
      </c>
      <c r="G42" s="59">
        <f>VLOOKUP($A42,Base_dados!$A$5:$H$103,7,FALSE())</f>
        <v>0</v>
      </c>
      <c r="H42" s="59">
        <f>(VLOOKUP(Tabela4[[#This Row],[CNAE]],Tabela1[],8,FALSE))/100</f>
        <v>7.2499999999999995E-2</v>
      </c>
      <c r="I42" s="59">
        <f>(C42*Config_Indicadores!$G$4+D42*Config_Indicadores!$G$5+E42*Config_Indicadores!$G$6+F42*Config_Indicadores!$G$7+G42*Config_Indicadores!$G$7+H42*Config_Indicadores!$G$8)/Config_Indicadores!$G$11</f>
        <v>0.10535887764091714</v>
      </c>
      <c r="J42" s="60">
        <f>RANK(I42,Tabela4[Score Final],0)</f>
        <v>68</v>
      </c>
      <c r="K42" s="54">
        <f>VLOOKUP(Tabela4[[#This Row],[CNAE]],Síntese2!A:G,6,FALSE)</f>
        <v>-18.510000000000002</v>
      </c>
      <c r="L42" s="52">
        <f>VLOOKUP(Tabela4[[#This Row],[CNAE]],Síntese2!A:G,3,FALSE)</f>
        <v>5055711.34</v>
      </c>
      <c r="M42" s="56" t="str">
        <f>IF(Tabela4[[#This Row],[Tx Variação]]&gt;=MEDIAN(Tabela4[Tx Variação]), "Alto","Baixo")</f>
        <v>Baixo</v>
      </c>
      <c r="N42" s="56" t="str">
        <f>IF(Tabela4[[#This Row],[Volume compra 2025]]&gt;=MEDIAN(Tabela4[Volume compra 2025]), "Alto","Baixo")</f>
        <v>Alto</v>
      </c>
      <c r="O4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3" spans="1:15">
      <c r="A43" s="61" t="s">
        <v>101</v>
      </c>
      <c r="B43" s="62" t="s">
        <v>102</v>
      </c>
      <c r="C43" s="63">
        <f>(VLOOKUP($A43,Base_dados!$A$5:$H$103,3,FALSE())-MIN(Tabela1[IND01
Emprego]))/(MAX(Tabela1[IND01
Emprego])-MIN(Tabela1[IND01
Emprego]))</f>
        <v>0.15794779477947796</v>
      </c>
      <c r="D43" s="63">
        <f>(VLOOKUP($A43,Base_dados!$A$5:$H$103,4,FALSE())-MIN(Base_dados!C$5:C$103))/(MAX(Base_dados!C$5:C$103)-MIN(Base_dados!C$5:C$103))</f>
        <v>2.7002700270027003E-3</v>
      </c>
      <c r="E43" s="63">
        <f>(VLOOKUP($A43,Base_dados!$A$5:$H$103,5,FALSE())-MIN(Tabela1[IND03
Complexidade Econômica]))/(MAX(Tabela1[IND03
Complexidade Econômica])-MIN(Tabela1[IND03
Complexidade Econômica]))</f>
        <v>0.48378105744630856</v>
      </c>
      <c r="F43" s="63">
        <f>VLOOKUP($A43,Base_dados!A:H,6,FALSE())</f>
        <v>1</v>
      </c>
      <c r="G43" s="63">
        <f>VLOOKUP($A43,Base_dados!$A$5:$H$103,7,FALSE())</f>
        <v>1</v>
      </c>
      <c r="H43" s="63">
        <f>(VLOOKUP(Tabela4[[#This Row],[CNAE]],Tabela1[],8,FALSE))/100</f>
        <v>0</v>
      </c>
      <c r="I43" s="63">
        <f>(C43*Config_Indicadores!$G$4+D43*Config_Indicadores!$G$5+E43*Config_Indicadores!$G$6+F43*Config_Indicadores!$G$7+G43*Config_Indicadores!$G$7+H43*Config_Indicadores!$G$8)/Config_Indicadores!$G$11</f>
        <v>0.40033955957603817</v>
      </c>
      <c r="J43" s="64">
        <f>RANK(I43,Tabela4[Score Final],0)</f>
        <v>5</v>
      </c>
      <c r="K43" s="65">
        <f>VLOOKUP(Tabela4[[#This Row],[CNAE]],Síntese2!A:G,6,FALSE)</f>
        <v>6120.67</v>
      </c>
      <c r="L43" s="66">
        <f>VLOOKUP(Tabela4[[#This Row],[CNAE]],Síntese2!A:G,3,FALSE)</f>
        <v>5013861.3499999996</v>
      </c>
      <c r="M43" s="67" t="str">
        <f>IF(Tabela4[[#This Row],[Tx Variação]]&gt;=MEDIAN(Tabela4[Tx Variação]), "Alto","Baixo")</f>
        <v>Alto</v>
      </c>
      <c r="N43" s="67" t="str">
        <f>IF(Tabela4[[#This Row],[Volume compra 2025]]&gt;=MEDIAN(Tabela4[Volume compra 2025]), "Alto","Baixo")</f>
        <v>Alto</v>
      </c>
      <c r="O4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4" spans="1:15">
      <c r="A44" s="58" t="s">
        <v>99</v>
      </c>
      <c r="B44" s="16" t="s">
        <v>100</v>
      </c>
      <c r="C44" s="59">
        <f>(VLOOKUP($A44,Base_dados!$A$5:$H$103,3,FALSE())-MIN(Tabela1[IND01
Emprego]))/(MAX(Tabela1[IND01
Emprego])-MIN(Tabela1[IND01
Emprego]))</f>
        <v>5.515751575157516E-2</v>
      </c>
      <c r="D44" s="59">
        <f>(VLOOKUP($A44,Base_dados!$A$5:$H$103,4,FALSE())-MIN(Base_dados!C$5:C$103))/(MAX(Base_dados!C$5:C$103)-MIN(Base_dados!C$5:C$103))</f>
        <v>7.2007200720072004E-4</v>
      </c>
      <c r="E44" s="59">
        <f>(VLOOKUP($A44,Base_dados!$A$5:$H$103,5,FALSE())-MIN(Tabela1[IND03
Complexidade Econômica]))/(MAX(Tabela1[IND03
Complexidade Econômica])-MIN(Tabela1[IND03
Complexidade Econômica]))</f>
        <v>0.80391204210256761</v>
      </c>
      <c r="F44" s="59">
        <f>VLOOKUP($A44,Base_dados!A:H,6,FALSE())</f>
        <v>0</v>
      </c>
      <c r="G44" s="59">
        <f>VLOOKUP($A44,Base_dados!$A$5:$H$103,7,FALSE())</f>
        <v>0</v>
      </c>
      <c r="H44" s="59">
        <f>(VLOOKUP(Tabela4[[#This Row],[CNAE]],Tabela1[],8,FALSE))/100</f>
        <v>0.49990000000000001</v>
      </c>
      <c r="I44" s="59">
        <f>(C44*Config_Indicadores!$G$4+D44*Config_Indicadores!$G$5+E44*Config_Indicadores!$G$6+F44*Config_Indicadores!$G$7+G44*Config_Indicadores!$G$7+H44*Config_Indicadores!$G$8)/Config_Indicadores!$G$11</f>
        <v>0.20212102080184552</v>
      </c>
      <c r="J44" s="60">
        <f>RANK(I44,Tabela4[Score Final],0)</f>
        <v>48</v>
      </c>
      <c r="K44" s="54">
        <f>VLOOKUP(Tabela4[[#This Row],[CNAE]],Síntese2!A:G,6,FALSE)</f>
        <v>-32.83</v>
      </c>
      <c r="L44" s="52">
        <f>VLOOKUP(Tabela4[[#This Row],[CNAE]],Síntese2!A:G,3,FALSE)</f>
        <v>4020034.71</v>
      </c>
      <c r="M44" s="56" t="str">
        <f>IF(Tabela4[[#This Row],[Tx Variação]]&gt;=MEDIAN(Tabela4[Tx Variação]), "Alto","Baixo")</f>
        <v>Baixo</v>
      </c>
      <c r="N44" s="56" t="str">
        <f>IF(Tabela4[[#This Row],[Volume compra 2025]]&gt;=MEDIAN(Tabela4[Volume compra 2025]), "Alto","Baixo")</f>
        <v>Alto</v>
      </c>
      <c r="O4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5" spans="1:15">
      <c r="A45" s="58" t="s">
        <v>125</v>
      </c>
      <c r="B45" s="16" t="s">
        <v>126</v>
      </c>
      <c r="C45" s="59">
        <f>(VLOOKUP($A45,Base_dados!$A$5:$H$103,3,FALSE())-MIN(Tabela1[IND01
Emprego]))/(MAX(Tabela1[IND01
Emprego])-MIN(Tabela1[IND01
Emprego]))</f>
        <v>0.25026102610261025</v>
      </c>
      <c r="D45" s="59">
        <f>(VLOOKUP($A45,Base_dados!$A$5:$H$103,4,FALSE())-MIN(Base_dados!C$5:C$103))/(MAX(Base_dados!C$5:C$103)-MIN(Base_dados!C$5:C$103))</f>
        <v>1.1845184518451846E-2</v>
      </c>
      <c r="E45" s="59">
        <f>(VLOOKUP($A45,Base_dados!$A$5:$H$103,5,FALSE())-MIN(Tabela1[IND03
Complexidade Econômica]))/(MAX(Tabela1[IND03
Complexidade Econômica])-MIN(Tabela1[IND03
Complexidade Econômica]))</f>
        <v>8.6320655863707879E-2</v>
      </c>
      <c r="F45" s="59">
        <f>VLOOKUP($A45,Base_dados!A:H,6,FALSE())</f>
        <v>0</v>
      </c>
      <c r="G45" s="59">
        <f>VLOOKUP($A45,Base_dados!$A$5:$H$103,7,FALSE())</f>
        <v>0</v>
      </c>
      <c r="H45" s="59">
        <f>(VLOOKUP(Tabela4[[#This Row],[CNAE]],Tabela1[],8,FALSE))/100</f>
        <v>1.1399999999999999E-2</v>
      </c>
      <c r="I45" s="59">
        <f>(C45*Config_Indicadores!$G$4+D45*Config_Indicadores!$G$5+E45*Config_Indicadores!$G$6+F45*Config_Indicadores!$G$7+G45*Config_Indicadores!$G$7+H45*Config_Indicadores!$G$8)/Config_Indicadores!$G$11</f>
        <v>8.7155413226768591E-2</v>
      </c>
      <c r="J45" s="60">
        <f>RANK(I45,Tabela4[Score Final],0)</f>
        <v>74</v>
      </c>
      <c r="K45" s="54">
        <f>VLOOKUP(Tabela4[[#This Row],[CNAE]],Síntese2!A:G,6,FALSE)</f>
        <v>24.51</v>
      </c>
      <c r="L45" s="52">
        <f>VLOOKUP(Tabela4[[#This Row],[CNAE]],Síntese2!A:G,3,FALSE)</f>
        <v>3819976.66</v>
      </c>
      <c r="M45" s="56" t="str">
        <f>IF(Tabela4[[#This Row],[Tx Variação]]&gt;=MEDIAN(Tabela4[Tx Variação]), "Alto","Baixo")</f>
        <v>Alto</v>
      </c>
      <c r="N45" s="56" t="str">
        <f>IF(Tabela4[[#This Row],[Volume compra 2025]]&gt;=MEDIAN(Tabela4[Volume compra 2025]), "Alto","Baixo")</f>
        <v>Alto</v>
      </c>
      <c r="O4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6" spans="1:15">
      <c r="A46" s="58" t="s">
        <v>159</v>
      </c>
      <c r="B46" s="16" t="s">
        <v>160</v>
      </c>
      <c r="C46" s="59">
        <f>(VLOOKUP($A46,Base_dados!$A$5:$H$103,3,FALSE())-MIN(Tabela1[IND01
Emprego]))/(MAX(Tabela1[IND01
Emprego])-MIN(Tabela1[IND01
Emprego]))</f>
        <v>2.1062106210621063E-2</v>
      </c>
      <c r="D46" s="59">
        <f>(VLOOKUP($A46,Base_dados!$A$5:$H$103,4,FALSE())-MIN(Base_dados!C$5:C$103))/(MAX(Base_dados!C$5:C$103)-MIN(Base_dados!C$5:C$103))</f>
        <v>1.1161116111611162E-3</v>
      </c>
      <c r="E46" s="59">
        <f>(VLOOKUP($A46,Base_dados!$A$5:$H$103,5,FALSE())-MIN(Tabela1[IND03
Complexidade Econômica]))/(MAX(Tabela1[IND03
Complexidade Econômica])-MIN(Tabela1[IND03
Complexidade Econômica]))</f>
        <v>0.60674863302713333</v>
      </c>
      <c r="F46" s="59">
        <f>VLOOKUP($A46,Base_dados!A:H,6,FALSE())</f>
        <v>0</v>
      </c>
      <c r="G46" s="59">
        <f>VLOOKUP($A46,Base_dados!$A$5:$H$103,7,FALSE())</f>
        <v>0</v>
      </c>
      <c r="H46" s="59">
        <f>(VLOOKUP(Tabela4[[#This Row],[CNAE]],Tabela1[],8,FALSE))/100</f>
        <v>0.95930000000000004</v>
      </c>
      <c r="I46" s="59">
        <f>(C46*Config_Indicadores!$G$4+D46*Config_Indicadores!$G$5+E46*Config_Indicadores!$G$6+F46*Config_Indicadores!$G$7+G46*Config_Indicadores!$G$7+H46*Config_Indicadores!$G$8)/Config_Indicadores!$G$11</f>
        <v>0.22989842243707664</v>
      </c>
      <c r="J46" s="60">
        <f>RANK(I46,Tabela4[Score Final],0)</f>
        <v>38</v>
      </c>
      <c r="K46" s="54">
        <f>VLOOKUP(Tabela4[[#This Row],[CNAE]],Síntese2!A:G,6,FALSE)</f>
        <v>-1.94</v>
      </c>
      <c r="L46" s="52">
        <f>VLOOKUP(Tabela4[[#This Row],[CNAE]],Síntese2!A:G,3,FALSE)</f>
        <v>3766643.89</v>
      </c>
      <c r="M46" s="56" t="str">
        <f>IF(Tabela4[[#This Row],[Tx Variação]]&gt;=MEDIAN(Tabela4[Tx Variação]), "Alto","Baixo")</f>
        <v>Baixo</v>
      </c>
      <c r="N46" s="56" t="str">
        <f>IF(Tabela4[[#This Row],[Volume compra 2025]]&gt;=MEDIAN(Tabela4[Volume compra 2025]), "Alto","Baixo")</f>
        <v>Alto</v>
      </c>
      <c r="O4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7" spans="1:15">
      <c r="A47" s="61" t="s">
        <v>149</v>
      </c>
      <c r="B47" s="62" t="s">
        <v>150</v>
      </c>
      <c r="C47" s="63">
        <f>(VLOOKUP($A47,Base_dados!$A$5:$H$103,3,FALSE())-MIN(Tabela1[IND01
Emprego]))/(MAX(Tabela1[IND01
Emprego])-MIN(Tabela1[IND01
Emprego]))</f>
        <v>1.2529252925292529E-2</v>
      </c>
      <c r="D47" s="63">
        <f>(VLOOKUP($A47,Base_dados!$A$5:$H$103,4,FALSE())-MIN(Base_dados!C$5:C$103))/(MAX(Base_dados!C$5:C$103)-MIN(Base_dados!C$5:C$103))</f>
        <v>5.0405040504050409E-4</v>
      </c>
      <c r="E47" s="63">
        <f>(VLOOKUP($A47,Base_dados!$A$5:$H$103,5,FALSE())-MIN(Tabela1[IND03
Complexidade Econômica]))/(MAX(Tabela1[IND03
Complexidade Econômica])-MIN(Tabela1[IND03
Complexidade Econômica]))</f>
        <v>0.67814368046627793</v>
      </c>
      <c r="F47" s="63">
        <f>VLOOKUP($A47,Base_dados!A:H,6,FALSE())</f>
        <v>0</v>
      </c>
      <c r="G47" s="63">
        <f>VLOOKUP($A47,Base_dados!$A$5:$H$103,7,FALSE())</f>
        <v>0</v>
      </c>
      <c r="H47" s="63">
        <f>(VLOOKUP(Tabela4[[#This Row],[CNAE]],Tabela1[],8,FALSE))/100</f>
        <v>0.68090000000000006</v>
      </c>
      <c r="I47" s="63">
        <f>(C47*Config_Indicadores!$G$4+D47*Config_Indicadores!$G$5+E47*Config_Indicadores!$G$6+F47*Config_Indicadores!$G$7+G47*Config_Indicadores!$G$7+H47*Config_Indicadores!$G$8)/Config_Indicadores!$G$11</f>
        <v>0.19780089096027195</v>
      </c>
      <c r="J47" s="64">
        <f>RANK(I47,Tabela4[Score Final],0)</f>
        <v>50</v>
      </c>
      <c r="K47" s="65">
        <f>VLOOKUP(Tabela4[[#This Row],[CNAE]],Síntese2!A:G,6,FALSE)</f>
        <v>-63.99</v>
      </c>
      <c r="L47" s="66">
        <f>VLOOKUP(Tabela4[[#This Row],[CNAE]],Síntese2!A:G,3,FALSE)</f>
        <v>3599622.88</v>
      </c>
      <c r="M47" s="67" t="str">
        <f>IF(Tabela4[[#This Row],[Tx Variação]]&gt;=MEDIAN(Tabela4[Tx Variação]), "Alto","Baixo")</f>
        <v>Baixo</v>
      </c>
      <c r="N47" s="67" t="str">
        <f>IF(Tabela4[[#This Row],[Volume compra 2025]]&gt;=MEDIAN(Tabela4[Volume compra 2025]), "Alto","Baixo")</f>
        <v>Baixo</v>
      </c>
      <c r="O47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48" spans="1:15">
      <c r="A48" s="58" t="s">
        <v>137</v>
      </c>
      <c r="B48" s="16" t="s">
        <v>138</v>
      </c>
      <c r="C48" s="59">
        <f>(VLOOKUP($A48,Base_dados!$A$5:$H$103,3,FALSE())-MIN(Tabela1[IND01
Emprego]))/(MAX(Tabela1[IND01
Emprego])-MIN(Tabela1[IND01
Emprego]))</f>
        <v>2.6138613861386138E-2</v>
      </c>
      <c r="D48" s="59">
        <f>(VLOOKUP($A48,Base_dados!$A$5:$H$103,4,FALSE())-MIN(Base_dados!C$5:C$103))/(MAX(Base_dados!C$5:C$103)-MIN(Base_dados!C$5:C$103))</f>
        <v>8.4608460846084602E-3</v>
      </c>
      <c r="E48" s="59">
        <f>(VLOOKUP($A48,Base_dados!$A$5:$H$103,5,FALSE())-MIN(Tabela1[IND03
Complexidade Econômica]))/(MAX(Tabela1[IND03
Complexidade Econômica])-MIN(Tabela1[IND03
Complexidade Econômica]))</f>
        <v>0.36365084628207806</v>
      </c>
      <c r="F48" s="59">
        <f>VLOOKUP($A48,Base_dados!A:H,6,FALSE())</f>
        <v>0</v>
      </c>
      <c r="G48" s="59">
        <f>VLOOKUP($A48,Base_dados!$A$5:$H$103,7,FALSE())</f>
        <v>0</v>
      </c>
      <c r="H48" s="59">
        <f>(VLOOKUP(Tabela4[[#This Row],[CNAE]],Tabela1[],8,FALSE))/100</f>
        <v>0.46329999999999999</v>
      </c>
      <c r="I48" s="59">
        <f>(C48*Config_Indicadores!$G$4+D48*Config_Indicadores!$G$5+E48*Config_Indicadores!$G$6+F48*Config_Indicadores!$G$7+G48*Config_Indicadores!$G$7+H48*Config_Indicadores!$G$8)/Config_Indicadores!$G$11</f>
        <v>0.12681270286992269</v>
      </c>
      <c r="J48" s="60">
        <f>RANK(I48,Tabela4[Score Final],0)</f>
        <v>63</v>
      </c>
      <c r="K48" s="54">
        <f>VLOOKUP(Tabela4[[#This Row],[CNAE]],Síntese2!A:G,6,FALSE)</f>
        <v>56.44</v>
      </c>
      <c r="L48" s="52">
        <f>VLOOKUP(Tabela4[[#This Row],[CNAE]],Síntese2!A:G,3,FALSE)</f>
        <v>2829777.24</v>
      </c>
      <c r="M48" s="56" t="str">
        <f>IF(Tabela4[[#This Row],[Tx Variação]]&gt;=MEDIAN(Tabela4[Tx Variação]), "Alto","Baixo")</f>
        <v>Alto</v>
      </c>
      <c r="N48" s="56" t="str">
        <f>IF(Tabela4[[#This Row],[Volume compra 2025]]&gt;=MEDIAN(Tabela4[Volume compra 2025]), "Alto","Baixo")</f>
        <v>Baixo</v>
      </c>
      <c r="O4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49" spans="1:15">
      <c r="A49" s="58" t="s">
        <v>171</v>
      </c>
      <c r="B49" s="16" t="s">
        <v>172</v>
      </c>
      <c r="C49" s="59">
        <f>(VLOOKUP($A49,Base_dados!$A$5:$H$103,3,FALSE())-MIN(Tabela1[IND01
Emprego]))/(MAX(Tabela1[IND01
Emprego])-MIN(Tabela1[IND01
Emprego]))</f>
        <v>3.3771377137713769E-2</v>
      </c>
      <c r="D49" s="59">
        <f>(VLOOKUP($A49,Base_dados!$A$5:$H$103,4,FALSE())-MIN(Base_dados!C$5:C$103))/(MAX(Base_dados!C$5:C$103)-MIN(Base_dados!C$5:C$103))</f>
        <v>1.1521152115211522E-3</v>
      </c>
      <c r="E49" s="59">
        <f>(VLOOKUP($A49,Base_dados!$A$5:$H$103,5,FALSE())-MIN(Tabela1[IND03
Complexidade Econômica]))/(MAX(Tabela1[IND03
Complexidade Econômica])-MIN(Tabela1[IND03
Complexidade Econômica]))</f>
        <v>0.73847948129046392</v>
      </c>
      <c r="F49" s="59">
        <f>VLOOKUP($A49,Base_dados!A:H,6,FALSE())</f>
        <v>0</v>
      </c>
      <c r="G49" s="59">
        <f>VLOOKUP($A49,Base_dados!$A$5:$H$103,7,FALSE())</f>
        <v>0</v>
      </c>
      <c r="H49" s="59">
        <f>(VLOOKUP(Tabela4[[#This Row],[CNAE]],Tabela1[],8,FALSE))/100</f>
        <v>0.76340000000000008</v>
      </c>
      <c r="I49" s="59">
        <f>(C49*Config_Indicadores!$G$4+D49*Config_Indicadores!$G$5+E49*Config_Indicadores!$G$6+F49*Config_Indicadores!$G$7+G49*Config_Indicadores!$G$7+H49*Config_Indicadores!$G$8)/Config_Indicadores!$G$11</f>
        <v>0.22436776439677322</v>
      </c>
      <c r="J49" s="60">
        <f>RANK(I49,Tabela4[Score Final],0)</f>
        <v>41</v>
      </c>
      <c r="K49" s="54">
        <f>VLOOKUP(Tabela4[[#This Row],[CNAE]],Síntese2!A:G,6,FALSE)</f>
        <v>-15.99</v>
      </c>
      <c r="L49" s="52">
        <f>VLOOKUP(Tabela4[[#This Row],[CNAE]],Síntese2!A:G,3,FALSE)</f>
        <v>2547808.0099999998</v>
      </c>
      <c r="M49" s="56" t="str">
        <f>IF(Tabela4[[#This Row],[Tx Variação]]&gt;=MEDIAN(Tabela4[Tx Variação]), "Alto","Baixo")</f>
        <v>Baixo</v>
      </c>
      <c r="N49" s="56" t="str">
        <f>IF(Tabela4[[#This Row],[Volume compra 2025]]&gt;=MEDIAN(Tabela4[Volume compra 2025]), "Alto","Baixo")</f>
        <v>Baixo</v>
      </c>
      <c r="O4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0" spans="1:15">
      <c r="A50" s="58" t="s">
        <v>155</v>
      </c>
      <c r="B50" s="16" t="s">
        <v>156</v>
      </c>
      <c r="C50" s="59">
        <f>(VLOOKUP($A50,Base_dados!$A$5:$H$103,3,FALSE())-MIN(Tabela1[IND01
Emprego]))/(MAX(Tabela1[IND01
Emprego])-MIN(Tabela1[IND01
Emprego]))</f>
        <v>2.1602160216021603E-4</v>
      </c>
      <c r="D50" s="59">
        <f>(VLOOKUP($A50,Base_dados!$A$5:$H$103,4,FALSE())-MIN(Base_dados!C$5:C$103))/(MAX(Base_dados!C$5:C$103)-MIN(Base_dados!C$5:C$103))</f>
        <v>7.200720072007201E-5</v>
      </c>
      <c r="E50" s="59">
        <f>(VLOOKUP($A50,Base_dados!$A$5:$H$103,5,FALSE())-MIN(Tabela1[IND03
Complexidade Econômica]))/(MAX(Tabela1[IND03
Complexidade Econômica])-MIN(Tabela1[IND03
Complexidade Econômica]))</f>
        <v>0.86481123116576486</v>
      </c>
      <c r="F50" s="59">
        <f>VLOOKUP($A50,Base_dados!A:H,6,FALSE())</f>
        <v>0</v>
      </c>
      <c r="G50" s="59">
        <f>VLOOKUP($A50,Base_dados!$A$5:$H$103,7,FALSE())</f>
        <v>0</v>
      </c>
      <c r="H50" s="59">
        <f>(VLOOKUP(Tabela4[[#This Row],[CNAE]],Tabela1[],8,FALSE))/100</f>
        <v>0.54079999999999995</v>
      </c>
      <c r="I50" s="59">
        <f>(C50*Config_Indicadores!$G$4+D50*Config_Indicadores!$G$5+E50*Config_Indicadores!$G$6+F50*Config_Indicadores!$G$7+G50*Config_Indicadores!$G$7+H50*Config_Indicadores!$G$8)/Config_Indicadores!$G$11</f>
        <v>0.20087361165297218</v>
      </c>
      <c r="J50" s="60">
        <f>RANK(I50,Tabela4[Score Final],0)</f>
        <v>49</v>
      </c>
      <c r="K50" s="54">
        <f>VLOOKUP(Tabela4[[#This Row],[CNAE]],Síntese2!A:G,6,FALSE)</f>
        <v>-70.98</v>
      </c>
      <c r="L50" s="52">
        <f>VLOOKUP(Tabela4[[#This Row],[CNAE]],Síntese2!A:G,3,FALSE)</f>
        <v>2344963.44</v>
      </c>
      <c r="M50" s="56" t="str">
        <f>IF(Tabela4[[#This Row],[Tx Variação]]&gt;=MEDIAN(Tabela4[Tx Variação]), "Alto","Baixo")</f>
        <v>Baixo</v>
      </c>
      <c r="N50" s="56" t="str">
        <f>IF(Tabela4[[#This Row],[Volume compra 2025]]&gt;=MEDIAN(Tabela4[Volume compra 2025]), "Alto","Baixo")</f>
        <v>Baixo</v>
      </c>
      <c r="O5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1" spans="1:15">
      <c r="A51" s="58" t="s">
        <v>53</v>
      </c>
      <c r="B51" s="16" t="s">
        <v>54</v>
      </c>
      <c r="C51" s="59">
        <f>(VLOOKUP($A51,Base_dados!$A$5:$H$103,3,FALSE())-MIN(Tabela1[IND01
Emprego]))/(MAX(Tabela1[IND01
Emprego])-MIN(Tabela1[IND01
Emprego]))</f>
        <v>0.49288928892889289</v>
      </c>
      <c r="D51" s="59">
        <f>(VLOOKUP($A51,Base_dados!$A$5:$H$103,4,FALSE())-MIN(Base_dados!C$5:C$103))/(MAX(Base_dados!C$5:C$103)-MIN(Base_dados!C$5:C$103))</f>
        <v>5.0405040504050407E-3</v>
      </c>
      <c r="E51" s="59">
        <f>(VLOOKUP($A51,Base_dados!$A$5:$H$103,5,FALSE())-MIN(Tabela1[IND03
Complexidade Econômica]))/(MAX(Tabela1[IND03
Complexidade Econômica])-MIN(Tabela1[IND03
Complexidade Econômica]))</f>
        <v>0.34124893780182647</v>
      </c>
      <c r="F51" s="59">
        <f>VLOOKUP($A51,Base_dados!A:H,6,FALSE())</f>
        <v>0</v>
      </c>
      <c r="G51" s="59">
        <f>VLOOKUP($A51,Base_dados!$A$5:$H$103,7,FALSE())</f>
        <v>0</v>
      </c>
      <c r="H51" s="59">
        <f>(VLOOKUP(Tabela4[[#This Row],[CNAE]],Tabela1[],8,FALSE))/100</f>
        <v>0</v>
      </c>
      <c r="I51" s="59">
        <f>(C51*Config_Indicadores!$G$4+D51*Config_Indicadores!$G$5+E51*Config_Indicadores!$G$6+F51*Config_Indicadores!$G$7+G51*Config_Indicadores!$G$7+H51*Config_Indicadores!$G$8)/Config_Indicadores!$G$11</f>
        <v>0.1902954313871453</v>
      </c>
      <c r="J51" s="60">
        <f>RANK(I51,Tabela4[Score Final],0)</f>
        <v>53</v>
      </c>
      <c r="K51" s="54">
        <f>VLOOKUP(Tabela4[[#This Row],[CNAE]],Síntese2!A:G,6,FALSE)</f>
        <v>1.29</v>
      </c>
      <c r="L51" s="52">
        <f>VLOOKUP(Tabela4[[#This Row],[CNAE]],Síntese2!A:G,3,FALSE)</f>
        <v>2314737.2000000002</v>
      </c>
      <c r="M51" s="56" t="str">
        <f>IF(Tabela4[[#This Row],[Tx Variação]]&gt;=MEDIAN(Tabela4[Tx Variação]), "Alto","Baixo")</f>
        <v>Baixo</v>
      </c>
      <c r="N51" s="56" t="str">
        <f>IF(Tabela4[[#This Row],[Volume compra 2025]]&gt;=MEDIAN(Tabela4[Volume compra 2025]), "Alto","Baixo")</f>
        <v>Baixo</v>
      </c>
      <c r="O5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2" spans="1:15">
      <c r="A52" s="58" t="s">
        <v>59</v>
      </c>
      <c r="B52" s="16" t="s">
        <v>60</v>
      </c>
      <c r="C52" s="59">
        <f>(VLOOKUP($A52,Base_dados!$A$5:$H$103,3,FALSE())-MIN(Tabela1[IND01
Emprego]))/(MAX(Tabela1[IND01
Emprego])-MIN(Tabela1[IND01
Emprego]))</f>
        <v>0.20784878487848785</v>
      </c>
      <c r="D52" s="59">
        <f>(VLOOKUP($A52,Base_dados!$A$5:$H$103,4,FALSE())-MIN(Base_dados!C$5:C$103))/(MAX(Base_dados!C$5:C$103)-MIN(Base_dados!C$5:C$103))</f>
        <v>1.4761476147614761E-2</v>
      </c>
      <c r="E52" s="59">
        <f>(VLOOKUP($A52,Base_dados!$A$5:$H$103,5,FALSE())-MIN(Tabela1[IND03
Complexidade Econômica]))/(MAX(Tabela1[IND03
Complexidade Econômica])-MIN(Tabela1[IND03
Complexidade Econômica]))</f>
        <v>0.13842536573963621</v>
      </c>
      <c r="F52" s="59">
        <f>VLOOKUP($A52,Base_dados!A:H,6,FALSE())</f>
        <v>0</v>
      </c>
      <c r="G52" s="59">
        <f>VLOOKUP($A52,Base_dados!$A$5:$H$103,7,FALSE())</f>
        <v>0</v>
      </c>
      <c r="H52" s="59">
        <f>(VLOOKUP(Tabela4[[#This Row],[CNAE]],Tabela1[],8,FALSE))/100</f>
        <v>4.0999999999999995E-3</v>
      </c>
      <c r="I52" s="59">
        <f>(C52*Config_Indicadores!$G$4+D52*Config_Indicadores!$G$5+E52*Config_Indicadores!$G$6+F52*Config_Indicadores!$G$7+G52*Config_Indicadores!$G$7+H52*Config_Indicadores!$G$8)/Config_Indicadores!$G$11</f>
        <v>8.1854915949175239E-2</v>
      </c>
      <c r="J52" s="60">
        <f>RANK(I52,Tabela4[Score Final],0)</f>
        <v>76</v>
      </c>
      <c r="K52" s="54">
        <f>VLOOKUP(Tabela4[[#This Row],[CNAE]],Síntese2!A:G,6,FALSE)</f>
        <v>19.79</v>
      </c>
      <c r="L52" s="52">
        <f>VLOOKUP(Tabela4[[#This Row],[CNAE]],Síntese2!A:G,3,FALSE)</f>
        <v>2251589.4300000002</v>
      </c>
      <c r="M52" s="56" t="str">
        <f>IF(Tabela4[[#This Row],[Tx Variação]]&gt;=MEDIAN(Tabela4[Tx Variação]), "Alto","Baixo")</f>
        <v>Alto</v>
      </c>
      <c r="N52" s="56" t="str">
        <f>IF(Tabela4[[#This Row],[Volume compra 2025]]&gt;=MEDIAN(Tabela4[Volume compra 2025]), "Alto","Baixo")</f>
        <v>Baixo</v>
      </c>
      <c r="O5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3" spans="1:15">
      <c r="A53" s="58" t="s">
        <v>91</v>
      </c>
      <c r="B53" s="16" t="s">
        <v>92</v>
      </c>
      <c r="C53" s="59">
        <f>(VLOOKUP($A53,Base_dados!$A$5:$H$103,3,FALSE())-MIN(Tabela1[IND01
Emprego]))/(MAX(Tabela1[IND01
Emprego])-MIN(Tabela1[IND01
Emprego]))</f>
        <v>8.4464446444644459E-2</v>
      </c>
      <c r="D53" s="59">
        <f>(VLOOKUP($A53,Base_dados!$A$5:$H$103,4,FALSE())-MIN(Base_dados!C$5:C$103))/(MAX(Base_dados!C$5:C$103)-MIN(Base_dados!C$5:C$103))</f>
        <v>3.1323132313231324E-3</v>
      </c>
      <c r="E53" s="59">
        <f>(VLOOKUP($A53,Base_dados!$A$5:$H$103,5,FALSE())-MIN(Tabela1[IND03
Complexidade Econômica]))/(MAX(Tabela1[IND03
Complexidade Econômica])-MIN(Tabela1[IND03
Complexidade Econômica]))</f>
        <v>0.65068619942109496</v>
      </c>
      <c r="F53" s="59">
        <f>VLOOKUP($A53,Base_dados!A:H,6,FALSE())</f>
        <v>1</v>
      </c>
      <c r="G53" s="59">
        <f>VLOOKUP($A53,Base_dados!$A$5:$H$103,7,FALSE())</f>
        <v>0</v>
      </c>
      <c r="H53" s="59">
        <f>(VLOOKUP(Tabela4[[#This Row],[CNAE]],Tabela1[],8,FALSE))/100</f>
        <v>0.45100000000000001</v>
      </c>
      <c r="I53" s="59">
        <f>(C53*Config_Indicadores!$G$4+D53*Config_Indicadores!$G$5+E53*Config_Indicadores!$G$6+F53*Config_Indicadores!$G$7+G53*Config_Indicadores!$G$7+H53*Config_Indicadores!$G$8)/Config_Indicadores!$G$11</f>
        <v>0.32482105793452959</v>
      </c>
      <c r="J53" s="60">
        <f>RANK(I53,Tabela4[Score Final],0)</f>
        <v>16</v>
      </c>
      <c r="K53" s="54">
        <f>VLOOKUP(Tabela4[[#This Row],[CNAE]],Síntese2!A:G,6,FALSE)</f>
        <v>-9.84</v>
      </c>
      <c r="L53" s="52">
        <f>VLOOKUP(Tabela4[[#This Row],[CNAE]],Síntese2!A:G,3,FALSE)</f>
        <v>2104914.69</v>
      </c>
      <c r="M53" s="56" t="str">
        <f>IF(Tabela4[[#This Row],[Tx Variação]]&gt;=MEDIAN(Tabela4[Tx Variação]), "Alto","Baixo")</f>
        <v>Baixo</v>
      </c>
      <c r="N53" s="56" t="str">
        <f>IF(Tabela4[[#This Row],[Volume compra 2025]]&gt;=MEDIAN(Tabela4[Volume compra 2025]), "Alto","Baixo")</f>
        <v>Baixo</v>
      </c>
      <c r="O5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4" spans="1:15">
      <c r="A54" s="58" t="s">
        <v>133</v>
      </c>
      <c r="B54" s="16" t="s">
        <v>134</v>
      </c>
      <c r="C54" s="59">
        <f>(VLOOKUP($A54,Base_dados!$A$5:$H$103,3,FALSE())-MIN(Tabela1[IND01
Emprego]))/(MAX(Tabela1[IND01
Emprego])-MIN(Tabela1[IND01
Emprego]))</f>
        <v>0.19971197119711973</v>
      </c>
      <c r="D54" s="59">
        <f>(VLOOKUP($A54,Base_dados!$A$5:$H$103,4,FALSE())-MIN(Base_dados!C$5:C$103))/(MAX(Base_dados!C$5:C$103)-MIN(Base_dados!C$5:C$103))</f>
        <v>1.9729972997299731E-2</v>
      </c>
      <c r="E54" s="59">
        <f>(VLOOKUP($A54,Base_dados!$A$5:$H$103,5,FALSE())-MIN(Tabela1[IND03
Complexidade Econômica]))/(MAX(Tabela1[IND03
Complexidade Econômica])-MIN(Tabela1[IND03
Complexidade Econômica]))</f>
        <v>0.42376446732100292</v>
      </c>
      <c r="F54" s="59">
        <f>VLOOKUP($A54,Base_dados!A:H,6,FALSE())</f>
        <v>0</v>
      </c>
      <c r="G54" s="59">
        <f>VLOOKUP($A54,Base_dados!$A$5:$H$103,7,FALSE())</f>
        <v>0</v>
      </c>
      <c r="H54" s="59">
        <f>(VLOOKUP(Tabela4[[#This Row],[CNAE]],Tabela1[],8,FALSE))/100</f>
        <v>1.15E-2</v>
      </c>
      <c r="I54" s="59">
        <f>(C54*Config_Indicadores!$G$4+D54*Config_Indicadores!$G$5+E54*Config_Indicadores!$G$6+F54*Config_Indicadores!$G$7+G54*Config_Indicadores!$G$7+H54*Config_Indicadores!$G$8)/Config_Indicadores!$G$11</f>
        <v>0.12205976895893458</v>
      </c>
      <c r="J54" s="60">
        <f>RANK(I54,Tabela4[Score Final],0)</f>
        <v>65</v>
      </c>
      <c r="K54" s="54">
        <f>VLOOKUP(Tabela4[[#This Row],[CNAE]],Síntese2!A:G,6,FALSE)</f>
        <v>122.13</v>
      </c>
      <c r="L54" s="52">
        <f>VLOOKUP(Tabela4[[#This Row],[CNAE]],Síntese2!A:G,3,FALSE)</f>
        <v>1961109.48</v>
      </c>
      <c r="M54" s="56" t="str">
        <f>IF(Tabela4[[#This Row],[Tx Variação]]&gt;=MEDIAN(Tabela4[Tx Variação]), "Alto","Baixo")</f>
        <v>Alto</v>
      </c>
      <c r="N54" s="56" t="str">
        <f>IF(Tabela4[[#This Row],[Volume compra 2025]]&gt;=MEDIAN(Tabela4[Volume compra 2025]), "Alto","Baixo")</f>
        <v>Baixo</v>
      </c>
      <c r="O5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5" spans="1:15">
      <c r="A55" s="58" t="s">
        <v>55</v>
      </c>
      <c r="B55" s="16" t="s">
        <v>56</v>
      </c>
      <c r="C55" s="59">
        <f>(VLOOKUP($A55,Base_dados!$A$5:$H$103,3,FALSE())-MIN(Tabela1[IND01
Emprego]))/(MAX(Tabela1[IND01
Emprego])-MIN(Tabela1[IND01
Emprego]))</f>
        <v>0.11618361836183619</v>
      </c>
      <c r="D55" s="59">
        <f>(VLOOKUP($A55,Base_dados!$A$5:$H$103,4,FALSE())-MIN(Base_dados!C$5:C$103))/(MAX(Base_dados!C$5:C$103)-MIN(Base_dados!C$5:C$103))</f>
        <v>7.9207920792079209E-3</v>
      </c>
      <c r="E55" s="59">
        <f>(VLOOKUP($A55,Base_dados!$A$5:$H$103,5,FALSE())-MIN(Tabela1[IND03
Complexidade Econômica]))/(MAX(Tabela1[IND03
Complexidade Econômica])-MIN(Tabela1[IND03
Complexidade Econômica]))</f>
        <v>0.23354342179050433</v>
      </c>
      <c r="F55" s="59">
        <f>VLOOKUP($A55,Base_dados!A:H,6,FALSE())</f>
        <v>0</v>
      </c>
      <c r="G55" s="59">
        <f>VLOOKUP($A55,Base_dados!$A$5:$H$103,7,FALSE())</f>
        <v>0</v>
      </c>
      <c r="H55" s="59">
        <f>(VLOOKUP(Tabela4[[#This Row],[CNAE]],Tabela1[],8,FALSE))/100</f>
        <v>0</v>
      </c>
      <c r="I55" s="59">
        <f>(C55*Config_Indicadores!$G$4+D55*Config_Indicadores!$G$5+E55*Config_Indicadores!$G$6+F55*Config_Indicadores!$G$7+G55*Config_Indicadores!$G$7+H55*Config_Indicadores!$G$8)/Config_Indicadores!$G$11</f>
        <v>6.7690207227626378E-2</v>
      </c>
      <c r="J55" s="60">
        <f>RANK(I55,Tabela4[Score Final],0)</f>
        <v>80</v>
      </c>
      <c r="K55" s="54">
        <f>VLOOKUP(Tabela4[[#This Row],[CNAE]],Síntese2!A:G,6,FALSE)</f>
        <v>-0.42</v>
      </c>
      <c r="L55" s="52">
        <f>VLOOKUP(Tabela4[[#This Row],[CNAE]],Síntese2!A:G,3,FALSE)</f>
        <v>1555329.24</v>
      </c>
      <c r="M55" s="56" t="str">
        <f>IF(Tabela4[[#This Row],[Tx Variação]]&gt;=MEDIAN(Tabela4[Tx Variação]), "Alto","Baixo")</f>
        <v>Baixo</v>
      </c>
      <c r="N55" s="56" t="str">
        <f>IF(Tabela4[[#This Row],[Volume compra 2025]]&gt;=MEDIAN(Tabela4[Volume compra 2025]), "Alto","Baixo")</f>
        <v>Baixo</v>
      </c>
      <c r="O5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6" spans="1:15">
      <c r="A56" s="58" t="s">
        <v>103</v>
      </c>
      <c r="B56" s="16" t="s">
        <v>104</v>
      </c>
      <c r="C56" s="59">
        <f>(VLOOKUP($A56,Base_dados!$A$5:$H$103,3,FALSE())-MIN(Tabela1[IND01
Emprego]))/(MAX(Tabela1[IND01
Emprego])-MIN(Tabela1[IND01
Emprego]))</f>
        <v>6.0486048604860487E-3</v>
      </c>
      <c r="D56" s="59">
        <f>(VLOOKUP($A56,Base_dados!$A$5:$H$103,4,FALSE())-MIN(Base_dados!C$5:C$103))/(MAX(Base_dados!C$5:C$103)-MIN(Base_dados!C$5:C$103))</f>
        <v>2.1602160216021603E-4</v>
      </c>
      <c r="E56" s="59">
        <f>(VLOOKUP($A56,Base_dados!$A$5:$H$103,5,FALSE())-MIN(Tabela1[IND03
Complexidade Econômica]))/(MAX(Tabela1[IND03
Complexidade Econômica])-MIN(Tabela1[IND03
Complexidade Econômica]))</f>
        <v>0.62158087953437124</v>
      </c>
      <c r="F56" s="59">
        <f>VLOOKUP($A56,Base_dados!A:H,6,FALSE())</f>
        <v>0</v>
      </c>
      <c r="G56" s="59">
        <f>VLOOKUP($A56,Base_dados!$A$5:$H$103,7,FALSE())</f>
        <v>0</v>
      </c>
      <c r="H56" s="59">
        <f>(VLOOKUP(Tabela4[[#This Row],[CNAE]],Tabela1[],8,FALSE))/100</f>
        <v>1.15E-2</v>
      </c>
      <c r="I56" s="59">
        <f>(C56*Config_Indicadores!$G$4+D56*Config_Indicadores!$G$5+E56*Config_Indicadores!$G$6+F56*Config_Indicadores!$G$7+G56*Config_Indicadores!$G$7+H56*Config_Indicadores!$G$8)/Config_Indicadores!$G$11</f>
        <v>9.219915869392907E-2</v>
      </c>
      <c r="J56" s="60">
        <f>RANK(I56,Tabela4[Score Final],0)</f>
        <v>71</v>
      </c>
      <c r="K56" s="54">
        <f>VLOOKUP(Tabela4[[#This Row],[CNAE]],Síntese2!A:G,6,FALSE)</f>
        <v>-48.3</v>
      </c>
      <c r="L56" s="52">
        <f>VLOOKUP(Tabela4[[#This Row],[CNAE]],Síntese2!A:G,3,FALSE)</f>
        <v>1463796.43</v>
      </c>
      <c r="M56" s="56" t="str">
        <f>IF(Tabela4[[#This Row],[Tx Variação]]&gt;=MEDIAN(Tabela4[Tx Variação]), "Alto","Baixo")</f>
        <v>Baixo</v>
      </c>
      <c r="N56" s="56" t="str">
        <f>IF(Tabela4[[#This Row],[Volume compra 2025]]&gt;=MEDIAN(Tabela4[Volume compra 2025]), "Alto","Baixo")</f>
        <v>Baixo</v>
      </c>
      <c r="O5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7" spans="1:15">
      <c r="A57" s="58" t="s">
        <v>165</v>
      </c>
      <c r="B57" s="16" t="s">
        <v>166</v>
      </c>
      <c r="C57" s="59">
        <f>(VLOOKUP($A57,Base_dados!$A$5:$H$103,3,FALSE())-MIN(Tabela1[IND01
Emprego]))/(MAX(Tabela1[IND01
Emprego])-MIN(Tabela1[IND01
Emprego]))</f>
        <v>1.6201620162016202E-2</v>
      </c>
      <c r="D57" s="59">
        <f>(VLOOKUP($A57,Base_dados!$A$5:$H$103,4,FALSE())-MIN(Base_dados!C$5:C$103))/(MAX(Base_dados!C$5:C$103)-MIN(Base_dados!C$5:C$103))</f>
        <v>3.6003600360036002E-4</v>
      </c>
      <c r="E57" s="59">
        <f>(VLOOKUP($A57,Base_dados!$A$5:$H$103,5,FALSE())-MIN(Tabela1[IND03
Complexidade Econômica]))/(MAX(Tabela1[IND03
Complexidade Econômica])-MIN(Tabela1[IND03
Complexidade Econômica]))</f>
        <v>0.82606863448581269</v>
      </c>
      <c r="F57" s="59">
        <f>VLOOKUP($A57,Base_dados!A:H,6,FALSE())</f>
        <v>0</v>
      </c>
      <c r="G57" s="59">
        <f>VLOOKUP($A57,Base_dados!$A$5:$H$103,7,FALSE())</f>
        <v>0</v>
      </c>
      <c r="H57" s="59">
        <f>(VLOOKUP(Tabela4[[#This Row],[CNAE]],Tabela1[],8,FALSE))/100</f>
        <v>0.28089999999999998</v>
      </c>
      <c r="I57" s="59">
        <f>(C57*Config_Indicadores!$G$4+D57*Config_Indicadores!$G$5+E57*Config_Indicadores!$G$6+F57*Config_Indicadores!$G$7+G57*Config_Indicadores!$G$7+H57*Config_Indicadores!$G$8)/Config_Indicadores!$G$11</f>
        <v>0.16281884440192076</v>
      </c>
      <c r="J57" s="60">
        <f>RANK(I57,Tabela4[Score Final],0)</f>
        <v>55</v>
      </c>
      <c r="K57" s="54">
        <f>VLOOKUP(Tabela4[[#This Row],[CNAE]],Síntese2!A:G,6,FALSE)</f>
        <v>-11.01</v>
      </c>
      <c r="L57" s="52">
        <f>VLOOKUP(Tabela4[[#This Row],[CNAE]],Síntese2!A:G,3,FALSE)</f>
        <v>1394296.23</v>
      </c>
      <c r="M57" s="56" t="str">
        <f>IF(Tabela4[[#This Row],[Tx Variação]]&gt;=MEDIAN(Tabela4[Tx Variação]), "Alto","Baixo")</f>
        <v>Baixo</v>
      </c>
      <c r="N57" s="56" t="str">
        <f>IF(Tabela4[[#This Row],[Volume compra 2025]]&gt;=MEDIAN(Tabela4[Volume compra 2025]), "Alto","Baixo")</f>
        <v>Baixo</v>
      </c>
      <c r="O5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8" spans="1:15">
      <c r="A58" s="58" t="s">
        <v>169</v>
      </c>
      <c r="B58" s="16" t="s">
        <v>170</v>
      </c>
      <c r="C58" s="59">
        <f>(VLOOKUP($A58,Base_dados!$A$5:$H$103,3,FALSE())-MIN(Tabela1[IND01
Emprego]))/(MAX(Tabela1[IND01
Emprego])-MIN(Tabela1[IND01
Emprego]))</f>
        <v>2.5022502250225023E-2</v>
      </c>
      <c r="D58" s="59">
        <f>(VLOOKUP($A58,Base_dados!$A$5:$H$103,4,FALSE())-MIN(Base_dados!C$5:C$103))/(MAX(Base_dados!C$5:C$103)-MIN(Base_dados!C$5:C$103))</f>
        <v>6.1206120612061201E-4</v>
      </c>
      <c r="E58" s="59">
        <f>(VLOOKUP($A58,Base_dados!$A$5:$H$103,5,FALSE())-MIN(Tabela1[IND03
Complexidade Econômica]))/(MAX(Tabela1[IND03
Complexidade Econômica])-MIN(Tabela1[IND03
Complexidade Econômica]))</f>
        <v>0.78139123865015947</v>
      </c>
      <c r="F58" s="59">
        <f>VLOOKUP($A58,Base_dados!A:H,6,FALSE())</f>
        <v>0</v>
      </c>
      <c r="G58" s="59">
        <f>VLOOKUP($A58,Base_dados!$A$5:$H$103,7,FALSE())</f>
        <v>0</v>
      </c>
      <c r="H58" s="59">
        <f>(VLOOKUP(Tabela4[[#This Row],[CNAE]],Tabela1[],8,FALSE))/100</f>
        <v>3.3E-3</v>
      </c>
      <c r="I58" s="59">
        <f>(C58*Config_Indicadores!$G$4+D58*Config_Indicadores!$G$5+E58*Config_Indicadores!$G$6+F58*Config_Indicadores!$G$7+G58*Config_Indicadores!$G$7+H58*Config_Indicadores!$G$8)/Config_Indicadores!$G$11</f>
        <v>0.11933547205096144</v>
      </c>
      <c r="J58" s="60">
        <f>RANK(I58,Tabela4[Score Final],0)</f>
        <v>66</v>
      </c>
      <c r="K58" s="54">
        <f>VLOOKUP(Tabela4[[#This Row],[CNAE]],Síntese2!A:G,6,FALSE)</f>
        <v>79.290000000000006</v>
      </c>
      <c r="L58" s="52">
        <f>VLOOKUP(Tabela4[[#This Row],[CNAE]],Síntese2!A:G,3,FALSE)</f>
        <v>1342163.46</v>
      </c>
      <c r="M58" s="56" t="str">
        <f>IF(Tabela4[[#This Row],[Tx Variação]]&gt;=MEDIAN(Tabela4[Tx Variação]), "Alto","Baixo")</f>
        <v>Alto</v>
      </c>
      <c r="N58" s="56" t="str">
        <f>IF(Tabela4[[#This Row],[Volume compra 2025]]&gt;=MEDIAN(Tabela4[Volume compra 2025]), "Alto","Baixo")</f>
        <v>Baixo</v>
      </c>
      <c r="O5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9" spans="1:15">
      <c r="A59" s="58" t="s">
        <v>107</v>
      </c>
      <c r="B59" s="16" t="s">
        <v>108</v>
      </c>
      <c r="C59" s="59">
        <f>(VLOOKUP($A59,Base_dados!$A$5:$H$103,3,FALSE())-MIN(Tabela1[IND01
Emprego]))/(MAX(Tabela1[IND01
Emprego])-MIN(Tabela1[IND01
Emprego]))</f>
        <v>2.7398739873987398E-2</v>
      </c>
      <c r="D59" s="59">
        <f>(VLOOKUP($A59,Base_dados!$A$5:$H$103,4,FALSE())-MIN(Base_dados!C$5:C$103))/(MAX(Base_dados!C$5:C$103)-MIN(Base_dados!C$5:C$103))</f>
        <v>1.5841584158415843E-3</v>
      </c>
      <c r="E59" s="59">
        <f>(VLOOKUP($A59,Base_dados!$A$5:$H$103,5,FALSE())-MIN(Tabela1[IND03
Complexidade Econômica]))/(MAX(Tabela1[IND03
Complexidade Econômica])-MIN(Tabela1[IND03
Complexidade Econômica]))</f>
        <v>0.67244101592333738</v>
      </c>
      <c r="F59" s="59">
        <f>VLOOKUP($A59,Base_dados!A:H,6,FALSE())</f>
        <v>0</v>
      </c>
      <c r="G59" s="59">
        <f>VLOOKUP($A59,Base_dados!$A$5:$H$103,7,FALSE())</f>
        <v>0</v>
      </c>
      <c r="H59" s="59">
        <f>(VLOOKUP(Tabela4[[#This Row],[CNAE]],Tabela1[],8,FALSE))/100</f>
        <v>6.9999999999999993E-3</v>
      </c>
      <c r="I59" s="59">
        <f>(C59*Config_Indicadores!$G$4+D59*Config_Indicadores!$G$5+E59*Config_Indicadores!$G$6+F59*Config_Indicadores!$G$7+G59*Config_Indicadores!$G$7+H59*Config_Indicadores!$G$8)/Config_Indicadores!$G$11</f>
        <v>0.10511752201245053</v>
      </c>
      <c r="J59" s="60">
        <f>RANK(I59,Tabela4[Score Final],0)</f>
        <v>69</v>
      </c>
      <c r="K59" s="54">
        <f>VLOOKUP(Tabela4[[#This Row],[CNAE]],Síntese2!A:G,6,FALSE)</f>
        <v>-59.16</v>
      </c>
      <c r="L59" s="52">
        <f>VLOOKUP(Tabela4[[#This Row],[CNAE]],Síntese2!A:G,3,FALSE)</f>
        <v>1209169.7</v>
      </c>
      <c r="M59" s="56" t="str">
        <f>IF(Tabela4[[#This Row],[Tx Variação]]&gt;=MEDIAN(Tabela4[Tx Variação]), "Alto","Baixo")</f>
        <v>Baixo</v>
      </c>
      <c r="N59" s="56" t="str">
        <f>IF(Tabela4[[#This Row],[Volume compra 2025]]&gt;=MEDIAN(Tabela4[Volume compra 2025]), "Alto","Baixo")</f>
        <v>Baixo</v>
      </c>
      <c r="O5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0" spans="1:15">
      <c r="A60" s="58" t="s">
        <v>83</v>
      </c>
      <c r="B60" s="16" t="s">
        <v>84</v>
      </c>
      <c r="C60" s="59">
        <f>(VLOOKUP($A60,Base_dados!$A$5:$H$103,3,FALSE())-MIN(Tabela1[IND01
Emprego]))/(MAX(Tabela1[IND01
Emprego])-MIN(Tabela1[IND01
Emprego]))</f>
        <v>1.5021422142214222</v>
      </c>
      <c r="D60" s="59">
        <f>(VLOOKUP($A60,Base_dados!$A$5:$H$103,4,FALSE())-MIN(Base_dados!C$5:C$103))/(MAX(Base_dados!C$5:C$103)-MIN(Base_dados!C$5:C$103))</f>
        <v>3.6363636363636364E-3</v>
      </c>
      <c r="E60" s="59">
        <f>(VLOOKUP($A60,Base_dados!$A$5:$H$103,5,FALSE())-MIN(Tabela1[IND03
Complexidade Econômica]))/(MAX(Tabela1[IND03
Complexidade Econômica])-MIN(Tabela1[IND03
Complexidade Econômica]))</f>
        <v>0.33254701050987967</v>
      </c>
      <c r="F60" s="59">
        <f>VLOOKUP($A60,Base_dados!A:H,6,FALSE())</f>
        <v>0</v>
      </c>
      <c r="G60" s="59">
        <f>VLOOKUP($A60,Base_dados!$A$5:$H$103,7,FALSE())</f>
        <v>0</v>
      </c>
      <c r="H60" s="59">
        <f>(VLOOKUP(Tabela4[[#This Row],[CNAE]],Tabela1[],8,FALSE))/100</f>
        <v>0.79799999999999993</v>
      </c>
      <c r="I60" s="59">
        <f>(C60*Config_Indicadores!$G$4+D60*Config_Indicadores!$G$5+E60*Config_Indicadores!$G$6+F60*Config_Indicadores!$G$7+G60*Config_Indicadores!$G$7+H60*Config_Indicadores!$G$8)/Config_Indicadores!$G$11</f>
        <v>0.59120968608415525</v>
      </c>
      <c r="J60" s="60">
        <f>RANK(I60,Tabela4[Score Final],0)</f>
        <v>1</v>
      </c>
      <c r="K60" s="54">
        <f>VLOOKUP(Tabela4[[#This Row],[CNAE]],Síntese2!A:G,6,FALSE)</f>
        <v>-41.9</v>
      </c>
      <c r="L60" s="52">
        <f>VLOOKUP(Tabela4[[#This Row],[CNAE]],Síntese2!A:G,3,FALSE)</f>
        <v>1083679.45</v>
      </c>
      <c r="M60" s="56" t="str">
        <f>IF(Tabela4[[#This Row],[Tx Variação]]&gt;=MEDIAN(Tabela4[Tx Variação]), "Alto","Baixo")</f>
        <v>Baixo</v>
      </c>
      <c r="N60" s="56" t="str">
        <f>IF(Tabela4[[#This Row],[Volume compra 2025]]&gt;=MEDIAN(Tabela4[Volume compra 2025]), "Alto","Baixo")</f>
        <v>Baixo</v>
      </c>
      <c r="O6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1" spans="1:15">
      <c r="A61" s="58" t="s">
        <v>87</v>
      </c>
      <c r="B61" s="16" t="s">
        <v>88</v>
      </c>
      <c r="C61" s="59">
        <f>(VLOOKUP($A61,Base_dados!$A$5:$H$103,3,FALSE())-MIN(Tabela1[IND01
Emprego]))/(MAX(Tabela1[IND01
Emprego])-MIN(Tabela1[IND01
Emprego]))</f>
        <v>7.747974797479748E-2</v>
      </c>
      <c r="D61" s="59">
        <f>(VLOOKUP($A61,Base_dados!$A$5:$H$103,4,FALSE())-MIN(Base_dados!C$5:C$103))/(MAX(Base_dados!C$5:C$103)-MIN(Base_dados!C$5:C$103))</f>
        <v>9.9009900990099011E-3</v>
      </c>
      <c r="E61" s="59">
        <f>(VLOOKUP($A61,Base_dados!$A$5:$H$103,5,FALSE())-MIN(Tabela1[IND03
Complexidade Econômica]))/(MAX(Tabela1[IND03
Complexidade Econômica])-MIN(Tabela1[IND03
Complexidade Econômica]))</f>
        <v>0.32638890788733593</v>
      </c>
      <c r="F61" s="59">
        <f>VLOOKUP($A61,Base_dados!A:H,6,FALSE())</f>
        <v>0</v>
      </c>
      <c r="G61" s="59">
        <f>VLOOKUP($A61,Base_dados!$A$5:$H$103,7,FALSE())</f>
        <v>0</v>
      </c>
      <c r="H61" s="59">
        <f>(VLOOKUP(Tabela4[[#This Row],[CNAE]],Tabela1[],8,FALSE))/100</f>
        <v>0</v>
      </c>
      <c r="I61" s="59">
        <f>(C61*Config_Indicadores!$G$4+D61*Config_Indicadores!$G$5+E61*Config_Indicadores!$G$6+F61*Config_Indicadores!$G$7+G61*Config_Indicadores!$G$7+H61*Config_Indicadores!$G$8)/Config_Indicadores!$G$11</f>
        <v>7.0178484847991537E-2</v>
      </c>
      <c r="J61" s="60">
        <f>RANK(I61,Tabela4[Score Final],0)</f>
        <v>79</v>
      </c>
      <c r="K61" s="54">
        <f>VLOOKUP(Tabela4[[#This Row],[CNAE]],Síntese2!A:G,6,FALSE)</f>
        <v>-21.17</v>
      </c>
      <c r="L61" s="52">
        <f>VLOOKUP(Tabela4[[#This Row],[CNAE]],Síntese2!A:G,3,FALSE)</f>
        <v>1021084.09</v>
      </c>
      <c r="M61" s="56" t="str">
        <f>IF(Tabela4[[#This Row],[Tx Variação]]&gt;=MEDIAN(Tabela4[Tx Variação]), "Alto","Baixo")</f>
        <v>Baixo</v>
      </c>
      <c r="N61" s="56" t="str">
        <f>IF(Tabela4[[#This Row],[Volume compra 2025]]&gt;=MEDIAN(Tabela4[Volume compra 2025]), "Alto","Baixo")</f>
        <v>Baixo</v>
      </c>
      <c r="O6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2" spans="1:15">
      <c r="A62" s="58" t="s">
        <v>203</v>
      </c>
      <c r="B62" s="16" t="s">
        <v>204</v>
      </c>
      <c r="C62" s="59">
        <f>(VLOOKUP($A62,Base_dados!$A$5:$H$103,3,FALSE())-MIN(Tabela1[IND01
Emprego]))/(MAX(Tabela1[IND01
Emprego])-MIN(Tabela1[IND01
Emprego]))</f>
        <v>1.8001800180018001E-3</v>
      </c>
      <c r="D62" s="59">
        <f>(VLOOKUP($A62,Base_dados!$A$5:$H$103,4,FALSE())-MIN(Base_dados!C$5:C$103))/(MAX(Base_dados!C$5:C$103)-MIN(Base_dados!C$5:C$103))</f>
        <v>4.6804680468046805E-4</v>
      </c>
      <c r="E62" s="59">
        <f>(VLOOKUP($A62,Base_dados!$A$5:$H$103,5,FALSE())-MIN(Tabela1[IND03
Complexidade Econômica]))/(MAX(Tabela1[IND03
Complexidade Econômica])-MIN(Tabela1[IND03
Complexidade Econômica]))</f>
        <v>0.62247987049067843</v>
      </c>
      <c r="F62" s="59">
        <f>VLOOKUP($A62,Base_dados!A:H,6,FALSE())</f>
        <v>0</v>
      </c>
      <c r="G62" s="59">
        <f>VLOOKUP($A62,Base_dados!$A$5:$H$103,7,FALSE())</f>
        <v>0</v>
      </c>
      <c r="H62" s="59">
        <f>(VLOOKUP(Tabela4[[#This Row],[CNAE]],Tabela1[],8,FALSE))/100</f>
        <v>0.84200000000000008</v>
      </c>
      <c r="I62" s="59">
        <f>(C62*Config_Indicadores!$G$4+D62*Config_Indicadores!$G$5+E62*Config_Indicadores!$G$6+F62*Config_Indicadores!$G$7+G62*Config_Indicadores!$G$7+H62*Config_Indicadores!$G$8)/Config_Indicadores!$G$11</f>
        <v>0.20979261104733751</v>
      </c>
      <c r="J62" s="60">
        <f>RANK(I62,Tabela4[Score Final],0)</f>
        <v>45</v>
      </c>
      <c r="K62" s="54">
        <f>VLOOKUP(Tabela4[[#This Row],[CNAE]],Síntese2!A:G,6,FALSE)</f>
        <v>105.11</v>
      </c>
      <c r="L62" s="52">
        <f>VLOOKUP(Tabela4[[#This Row],[CNAE]],Síntese2!A:G,3,FALSE)</f>
        <v>1004909.22</v>
      </c>
      <c r="M62" s="56" t="str">
        <f>IF(Tabela4[[#This Row],[Tx Variação]]&gt;=MEDIAN(Tabela4[Tx Variação]), "Alto","Baixo")</f>
        <v>Alto</v>
      </c>
      <c r="N62" s="56" t="str">
        <f>IF(Tabela4[[#This Row],[Volume compra 2025]]&gt;=MEDIAN(Tabela4[Volume compra 2025]), "Alto","Baixo")</f>
        <v>Baixo</v>
      </c>
      <c r="O6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3" spans="1:15">
      <c r="A63" s="58" t="s">
        <v>161</v>
      </c>
      <c r="B63" s="16" t="s">
        <v>162</v>
      </c>
      <c r="C63" s="59">
        <f>(VLOOKUP($A63,Base_dados!$A$5:$H$103,3,FALSE())-MIN(Tabela1[IND01
Emprego]))/(MAX(Tabela1[IND01
Emprego])-MIN(Tabela1[IND01
Emprego]))</f>
        <v>2.5202520252025205E-4</v>
      </c>
      <c r="D63" s="59">
        <f>(VLOOKUP($A63,Base_dados!$A$5:$H$103,4,FALSE())-MIN(Base_dados!C$5:C$103))/(MAX(Base_dados!C$5:C$103)-MIN(Base_dados!C$5:C$103))</f>
        <v>3.6003600360036005E-5</v>
      </c>
      <c r="E63" s="59">
        <f>(VLOOKUP($A63,Base_dados!$A$5:$H$103,5,FALSE())-MIN(Tabela1[IND03
Complexidade Econômica]))/(MAX(Tabela1[IND03
Complexidade Econômica])-MIN(Tabela1[IND03
Complexidade Econômica]))</f>
        <v>0.71268418173007397</v>
      </c>
      <c r="F63" s="59">
        <f>VLOOKUP($A63,Base_dados!A:H,6,FALSE())</f>
        <v>0</v>
      </c>
      <c r="G63" s="59">
        <f>VLOOKUP($A63,Base_dados!$A$5:$H$103,7,FALSE())</f>
        <v>1</v>
      </c>
      <c r="H63" s="59">
        <f>(VLOOKUP(Tabela4[[#This Row],[CNAE]],Tabela1[],8,FALSE))/100</f>
        <v>0.1195</v>
      </c>
      <c r="I63" s="59">
        <f>(C63*Config_Indicadores!$G$4+D63*Config_Indicadores!$G$5+E63*Config_Indicadores!$G$6+F63*Config_Indicadores!$G$7+G63*Config_Indicadores!$G$7+H63*Config_Indicadores!$G$8)/Config_Indicadores!$G$11</f>
        <v>0.26181774796221063</v>
      </c>
      <c r="J63" s="60">
        <f>RANK(I63,Tabela4[Score Final],0)</f>
        <v>24</v>
      </c>
      <c r="K63" s="54">
        <f>VLOOKUP(Tabela4[[#This Row],[CNAE]],Síntese2!A:G,6,FALSE)</f>
        <v>1.47</v>
      </c>
      <c r="L63" s="52">
        <f>VLOOKUP(Tabela4[[#This Row],[CNAE]],Síntese2!A:G,3,FALSE)</f>
        <v>999605.98</v>
      </c>
      <c r="M63" s="56" t="str">
        <f>IF(Tabela4[[#This Row],[Tx Variação]]&gt;=MEDIAN(Tabela4[Tx Variação]), "Alto","Baixo")</f>
        <v>Baixo</v>
      </c>
      <c r="N63" s="56" t="str">
        <f>IF(Tabela4[[#This Row],[Volume compra 2025]]&gt;=MEDIAN(Tabela4[Volume compra 2025]), "Alto","Baixo")</f>
        <v>Baixo</v>
      </c>
      <c r="O6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4" spans="1:15">
      <c r="A64" s="61" t="s">
        <v>119</v>
      </c>
      <c r="B64" s="62" t="s">
        <v>120</v>
      </c>
      <c r="C64" s="63">
        <f>(VLOOKUP($A64,Base_dados!$A$5:$H$103,3,FALSE())-MIN(Tabela1[IND01
Emprego]))/(MAX(Tabela1[IND01
Emprego])-MIN(Tabela1[IND01
Emprego]))</f>
        <v>5.2133213321332132E-2</v>
      </c>
      <c r="D64" s="63">
        <f>(VLOOKUP($A64,Base_dados!$A$5:$H$103,4,FALSE())-MIN(Base_dados!C$5:C$103))/(MAX(Base_dados!C$5:C$103)-MIN(Base_dados!C$5:C$103))</f>
        <v>3.4923492349234922E-3</v>
      </c>
      <c r="E64" s="63">
        <f>(VLOOKUP($A64,Base_dados!$A$5:$H$103,5,FALSE())-MIN(Tabela1[IND03
Complexidade Econômica]))/(MAX(Tabela1[IND03
Complexidade Econômica])-MIN(Tabela1[IND03
Complexidade Econômica]))</f>
        <v>0.63865118453462122</v>
      </c>
      <c r="F64" s="63">
        <f>VLOOKUP($A64,Base_dados!A:H,6,FALSE())</f>
        <v>1</v>
      </c>
      <c r="G64" s="63">
        <f>VLOOKUP($A64,Base_dados!$A$5:$H$103,7,FALSE())</f>
        <v>0</v>
      </c>
      <c r="H64" s="63">
        <f>(VLOOKUP(Tabela4[[#This Row],[CNAE]],Tabela1[],8,FALSE))/100</f>
        <v>1.06E-2</v>
      </c>
      <c r="I64" s="63">
        <f>(C64*Config_Indicadores!$G$4+D64*Config_Indicadores!$G$5+E64*Config_Indicadores!$G$6+F64*Config_Indicadores!$G$7+G64*Config_Indicadores!$G$7+H64*Config_Indicadores!$G$8)/Config_Indicadores!$G$11</f>
        <v>0.25100142291602984</v>
      </c>
      <c r="J64" s="64">
        <f>RANK(I64,Tabela4[Score Final],0)</f>
        <v>30</v>
      </c>
      <c r="K64" s="65">
        <f>VLOOKUP(Tabela4[[#This Row],[CNAE]],Síntese2!A:G,6,FALSE)</f>
        <v>-42.55</v>
      </c>
      <c r="L64" s="66">
        <f>VLOOKUP(Tabela4[[#This Row],[CNAE]],Síntese2!A:G,3,FALSE)</f>
        <v>943828.49</v>
      </c>
      <c r="M64" s="67" t="str">
        <f>IF(Tabela4[[#This Row],[Tx Variação]]&gt;=MEDIAN(Tabela4[Tx Variação]), "Alto","Baixo")</f>
        <v>Baixo</v>
      </c>
      <c r="N64" s="67" t="str">
        <f>IF(Tabela4[[#This Row],[Volume compra 2025]]&gt;=MEDIAN(Tabela4[Volume compra 2025]), "Alto","Baixo")</f>
        <v>Baixo</v>
      </c>
      <c r="O6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5" spans="1:15">
      <c r="A65" s="61" t="s">
        <v>177</v>
      </c>
      <c r="B65" s="62" t="s">
        <v>178</v>
      </c>
      <c r="C65" s="63">
        <f>(VLOOKUP($A65,Base_dados!$A$5:$H$103,3,FALSE())-MIN(Tabela1[IND01
Emprego]))/(MAX(Tabela1[IND01
Emprego])-MIN(Tabela1[IND01
Emprego]))</f>
        <v>4.572457245724572E-3</v>
      </c>
      <c r="D65" s="63">
        <f>(VLOOKUP($A65,Base_dados!$A$5:$H$103,4,FALSE())-MIN(Base_dados!C$5:C$103))/(MAX(Base_dados!C$5:C$103)-MIN(Base_dados!C$5:C$103))</f>
        <v>3.9603960396039607E-4</v>
      </c>
      <c r="E65" s="63">
        <f>(VLOOKUP($A65,Base_dados!$A$5:$H$103,5,FALSE())-MIN(Tabela1[IND03
Complexidade Econômica]))/(MAX(Tabela1[IND03
Complexidade Econômica])-MIN(Tabela1[IND03
Complexidade Econômica]))</f>
        <v>0.74026281929843252</v>
      </c>
      <c r="F65" s="63">
        <f>VLOOKUP($A65,Base_dados!A:H,6,FALSE())</f>
        <v>0</v>
      </c>
      <c r="G65" s="63">
        <f>VLOOKUP($A65,Base_dados!$A$5:$H$103,7,FALSE())</f>
        <v>0</v>
      </c>
      <c r="H65" s="63">
        <f>(VLOOKUP(Tabela4[[#This Row],[CNAE]],Tabela1[],8,FALSE))/100</f>
        <v>0.94530000000000003</v>
      </c>
      <c r="I65" s="63">
        <f>(C65*Config_Indicadores!$G$4+D65*Config_Indicadores!$G$5+E65*Config_Indicadores!$G$6+F65*Config_Indicadores!$G$7+G65*Config_Indicadores!$G$7+H65*Config_Indicadores!$G$8)/Config_Indicadores!$G$11</f>
        <v>0.242157681913406</v>
      </c>
      <c r="J65" s="64">
        <f>RANK(I65,Tabela4[Score Final],0)</f>
        <v>35</v>
      </c>
      <c r="K65" s="65">
        <f>VLOOKUP(Tabela4[[#This Row],[CNAE]],Síntese2!A:G,6,FALSE)</f>
        <v>497.87</v>
      </c>
      <c r="L65" s="66">
        <f>VLOOKUP(Tabela4[[#This Row],[CNAE]],Síntese2!A:G,3,FALSE)</f>
        <v>934026.78999999992</v>
      </c>
      <c r="M65" s="67" t="str">
        <f>IF(Tabela4[[#This Row],[Tx Variação]]&gt;=MEDIAN(Tabela4[Tx Variação]), "Alto","Baixo")</f>
        <v>Alto</v>
      </c>
      <c r="N65" s="67" t="str">
        <f>IF(Tabela4[[#This Row],[Volume compra 2025]]&gt;=MEDIAN(Tabela4[Volume compra 2025]), "Alto","Baixo")</f>
        <v>Baixo</v>
      </c>
      <c r="O6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6" spans="1:15">
      <c r="A66" s="58" t="s">
        <v>187</v>
      </c>
      <c r="B66" s="16" t="s">
        <v>188</v>
      </c>
      <c r="C66" s="59">
        <f>(VLOOKUP($A66,Base_dados!$A$5:$H$103,3,FALSE())-MIN(Tabela1[IND01
Emprego]))/(MAX(Tabela1[IND01
Emprego])-MIN(Tabela1[IND01
Emprego]))</f>
        <v>2.5922592259225923E-2</v>
      </c>
      <c r="D66" s="59">
        <f>(VLOOKUP($A66,Base_dados!$A$5:$H$103,4,FALSE())-MIN(Base_dados!C$5:C$103))/(MAX(Base_dados!C$5:C$103)-MIN(Base_dados!C$5:C$103))</f>
        <v>2.7722772277227721E-3</v>
      </c>
      <c r="E66" s="59">
        <f>(VLOOKUP($A66,Base_dados!$A$5:$H$103,5,FALSE())-MIN(Tabela1[IND03
Complexidade Econômica]))/(MAX(Tabela1[IND03
Complexidade Econômica])-MIN(Tabela1[IND03
Complexidade Econômica]))</f>
        <v>0.55404913116560595</v>
      </c>
      <c r="F66" s="59">
        <f>VLOOKUP($A66,Base_dados!A:H,6,FALSE())</f>
        <v>0</v>
      </c>
      <c r="G66" s="59">
        <f>VLOOKUP($A66,Base_dados!$A$5:$H$103,7,FALSE())</f>
        <v>0</v>
      </c>
      <c r="H66" s="59">
        <f>(VLOOKUP(Tabela4[[#This Row],[CNAE]],Tabela1[],8,FALSE))/100</f>
        <v>0.96420000000000006</v>
      </c>
      <c r="I66" s="59">
        <f>(C66*Config_Indicadores!$G$4+D66*Config_Indicadores!$G$5+E66*Config_Indicadores!$G$6+F66*Config_Indicadores!$G$7+G66*Config_Indicadores!$G$7+H66*Config_Indicadores!$G$8)/Config_Indicadores!$G$11</f>
        <v>0.22469522755882582</v>
      </c>
      <c r="J66" s="60">
        <f>RANK(I66,Tabela4[Score Final],0)</f>
        <v>40</v>
      </c>
      <c r="K66" s="54">
        <f>VLOOKUP(Tabela4[[#This Row],[CNAE]],Síntese2!A:G,6,FALSE)</f>
        <v>793.28</v>
      </c>
      <c r="L66" s="52">
        <f>VLOOKUP(Tabela4[[#This Row],[CNAE]],Síntese2!A:G,3,FALSE)</f>
        <v>894170</v>
      </c>
      <c r="M66" s="56" t="str">
        <f>IF(Tabela4[[#This Row],[Tx Variação]]&gt;=MEDIAN(Tabela4[Tx Variação]), "Alto","Baixo")</f>
        <v>Alto</v>
      </c>
      <c r="N66" s="56" t="str">
        <f>IF(Tabela4[[#This Row],[Volume compra 2025]]&gt;=MEDIAN(Tabela4[Volume compra 2025]), "Alto","Baixo")</f>
        <v>Baixo</v>
      </c>
      <c r="O6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7" spans="1:15">
      <c r="A67" s="58" t="s">
        <v>123</v>
      </c>
      <c r="B67" s="16" t="s">
        <v>124</v>
      </c>
      <c r="C67" s="59">
        <f>(VLOOKUP($A67,Base_dados!$A$5:$H$103,3,FALSE())-MIN(Tabela1[IND01
Emprego]))/(MAX(Tabela1[IND01
Emprego])-MIN(Tabela1[IND01
Emprego]))</f>
        <v>0.28694869486948693</v>
      </c>
      <c r="D67" s="59">
        <f>(VLOOKUP($A67,Base_dados!$A$5:$H$103,4,FALSE())-MIN(Base_dados!C$5:C$103))/(MAX(Base_dados!C$5:C$103)-MIN(Base_dados!C$5:C$103))</f>
        <v>2.5310531053105309E-2</v>
      </c>
      <c r="E67" s="59">
        <f>(VLOOKUP($A67,Base_dados!$A$5:$H$103,5,FALSE())-MIN(Tabela1[IND03
Complexidade Econômica]))/(MAX(Tabela1[IND03
Complexidade Econômica])-MIN(Tabela1[IND03
Complexidade Econômica]))</f>
        <v>0.30159707325424762</v>
      </c>
      <c r="F67" s="59">
        <f>VLOOKUP($A67,Base_dados!A:H,6,FALSE())</f>
        <v>0</v>
      </c>
      <c r="G67" s="59">
        <f>VLOOKUP($A67,Base_dados!$A$5:$H$103,7,FALSE())</f>
        <v>0</v>
      </c>
      <c r="H67" s="59">
        <f>(VLOOKUP(Tabela4[[#This Row],[CNAE]],Tabela1[],8,FALSE))/100</f>
        <v>0</v>
      </c>
      <c r="I67" s="59">
        <f>(C67*Config_Indicadores!$G$4+D67*Config_Indicadores!$G$5+E67*Config_Indicadores!$G$6+F67*Config_Indicadores!$G$7+G67*Config_Indicadores!$G$7+H67*Config_Indicadores!$G$8)/Config_Indicadores!$G$11</f>
        <v>0.12868642772090383</v>
      </c>
      <c r="J67" s="60">
        <f>RANK(I67,Tabela4[Score Final],0)</f>
        <v>62</v>
      </c>
      <c r="K67" s="54">
        <f>VLOOKUP(Tabela4[[#This Row],[CNAE]],Síntese2!A:G,6,FALSE)</f>
        <v>-43.04</v>
      </c>
      <c r="L67" s="52">
        <f>VLOOKUP(Tabela4[[#This Row],[CNAE]],Síntese2!A:G,3,FALSE)</f>
        <v>811765.46</v>
      </c>
      <c r="M67" s="56" t="str">
        <f>IF(Tabela4[[#This Row],[Tx Variação]]&gt;=MEDIAN(Tabela4[Tx Variação]), "Alto","Baixo")</f>
        <v>Baixo</v>
      </c>
      <c r="N67" s="56" t="str">
        <f>IF(Tabela4[[#This Row],[Volume compra 2025]]&gt;=MEDIAN(Tabela4[Volume compra 2025]), "Alto","Baixo")</f>
        <v>Baixo</v>
      </c>
      <c r="O6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8" spans="1:15">
      <c r="A68" s="58" t="s">
        <v>181</v>
      </c>
      <c r="B68" s="16" t="s">
        <v>182</v>
      </c>
      <c r="C68" s="59">
        <f>(VLOOKUP($A68,Base_dados!$A$5:$H$103,3,FALSE())-MIN(Tabela1[IND01
Emprego]))/(MAX(Tabela1[IND01
Emprego])-MIN(Tabela1[IND01
Emprego]))</f>
        <v>1.1197119711971197E-2</v>
      </c>
      <c r="D68" s="59">
        <f>(VLOOKUP($A68,Base_dados!$A$5:$H$103,4,FALSE())-MIN(Base_dados!C$5:C$103))/(MAX(Base_dados!C$5:C$103)-MIN(Base_dados!C$5:C$103))</f>
        <v>1.3321332133213321E-3</v>
      </c>
      <c r="E68" s="59">
        <f>(VLOOKUP($A68,Base_dados!$A$5:$H$103,5,FALSE())-MIN(Tabela1[IND03
Complexidade Econômica]))/(MAX(Tabela1[IND03
Complexidade Econômica])-MIN(Tabela1[IND03
Complexidade Econômica]))</f>
        <v>0.69128298855961756</v>
      </c>
      <c r="F68" s="59">
        <f>VLOOKUP($A68,Base_dados!A:H,6,FALSE())</f>
        <v>0</v>
      </c>
      <c r="G68" s="59">
        <f>VLOOKUP($A68,Base_dados!$A$5:$H$103,7,FALSE())</f>
        <v>0</v>
      </c>
      <c r="H68" s="59">
        <f>(VLOOKUP(Tabela4[[#This Row],[CNAE]],Tabela1[],8,FALSE))/100</f>
        <v>0.98709999999999998</v>
      </c>
      <c r="I68" s="59">
        <f>(C68*Config_Indicadores!$G$4+D68*Config_Indicadores!$G$5+E68*Config_Indicadores!$G$6+F68*Config_Indicadores!$G$7+G68*Config_Indicadores!$G$7+H68*Config_Indicadores!$G$8)/Config_Indicadores!$G$11</f>
        <v>0.24315848017098304</v>
      </c>
      <c r="J68" s="60">
        <f>RANK(I68,Tabela4[Score Final],0)</f>
        <v>34</v>
      </c>
      <c r="K68" s="54">
        <f>VLOOKUP(Tabela4[[#This Row],[CNAE]],Síntese2!A:G,6,FALSE)</f>
        <v>-93.92</v>
      </c>
      <c r="L68" s="52">
        <f>VLOOKUP(Tabela4[[#This Row],[CNAE]],Síntese2!A:G,3,FALSE)</f>
        <v>808445.9</v>
      </c>
      <c r="M68" s="56" t="str">
        <f>IF(Tabela4[[#This Row],[Tx Variação]]&gt;=MEDIAN(Tabela4[Tx Variação]), "Alto","Baixo")</f>
        <v>Baixo</v>
      </c>
      <c r="N68" s="56" t="str">
        <f>IF(Tabela4[[#This Row],[Volume compra 2025]]&gt;=MEDIAN(Tabela4[Volume compra 2025]), "Alto","Baixo")</f>
        <v>Baixo</v>
      </c>
      <c r="O6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9" spans="1:15">
      <c r="A69" s="61" t="s">
        <v>81</v>
      </c>
      <c r="B69" s="62" t="s">
        <v>82</v>
      </c>
      <c r="C69" s="63">
        <f>(VLOOKUP($A69,Base_dados!$A$5:$H$103,3,FALSE())-MIN(Tabela1[IND01
Emprego]))/(MAX(Tabela1[IND01
Emprego])-MIN(Tabela1[IND01
Emprego]))</f>
        <v>7.0999099909990995E-2</v>
      </c>
      <c r="D69" s="63">
        <f>(VLOOKUP($A69,Base_dados!$A$5:$H$103,4,FALSE())-MIN(Base_dados!C$5:C$103))/(MAX(Base_dados!C$5:C$103)-MIN(Base_dados!C$5:C$103))</f>
        <v>4.2124212421242122E-3</v>
      </c>
      <c r="E69" s="63">
        <f>(VLOOKUP($A69,Base_dados!$A$5:$H$103,5,FALSE())-MIN(Tabela1[IND03
Complexidade Econômica]))/(MAX(Tabela1[IND03
Complexidade Econômica])-MIN(Tabela1[IND03
Complexidade Econômica]))</f>
        <v>0.45972226693600432</v>
      </c>
      <c r="F69" s="63">
        <f>VLOOKUP($A69,Base_dados!A:H,6,FALSE())</f>
        <v>0</v>
      </c>
      <c r="G69" s="63">
        <f>VLOOKUP($A69,Base_dados!$A$5:$H$103,7,FALSE())</f>
        <v>0</v>
      </c>
      <c r="H69" s="63">
        <f>(VLOOKUP(Tabela4[[#This Row],[CNAE]],Tabela1[],8,FALSE))/100</f>
        <v>0.74939999999999996</v>
      </c>
      <c r="I69" s="63">
        <f>(C69*Config_Indicadores!$G$4+D69*Config_Indicadores!$G$5+E69*Config_Indicadores!$G$6+F69*Config_Indicadores!$G$7+G69*Config_Indicadores!$G$7+H69*Config_Indicadores!$G$8)/Config_Indicadores!$G$11</f>
        <v>0.19361898399973004</v>
      </c>
      <c r="J69" s="64">
        <f>RANK(I69,Tabela4[Score Final],0)</f>
        <v>52</v>
      </c>
      <c r="K69" s="65">
        <f>VLOOKUP(Tabela4[[#This Row],[CNAE]],Síntese2!A:G,6,FALSE)</f>
        <v>112.67</v>
      </c>
      <c r="L69" s="66">
        <f>VLOOKUP(Tabela4[[#This Row],[CNAE]],Síntese2!A:G,3,FALSE)</f>
        <v>718210.54</v>
      </c>
      <c r="M69" s="67" t="str">
        <f>IF(Tabela4[[#This Row],[Tx Variação]]&gt;=MEDIAN(Tabela4[Tx Variação]), "Alto","Baixo")</f>
        <v>Alto</v>
      </c>
      <c r="N69" s="67" t="str">
        <f>IF(Tabela4[[#This Row],[Volume compra 2025]]&gt;=MEDIAN(Tabela4[Volume compra 2025]), "Alto","Baixo")</f>
        <v>Baixo</v>
      </c>
      <c r="O6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0" spans="1:15">
      <c r="A70" s="58" t="s">
        <v>63</v>
      </c>
      <c r="B70" s="16" t="s">
        <v>64</v>
      </c>
      <c r="C70" s="59">
        <f>(VLOOKUP($A70,Base_dados!$A$5:$H$103,3,FALSE())-MIN(Tabela1[IND01
Emprego]))/(MAX(Tabela1[IND01
Emprego])-MIN(Tabela1[IND01
Emprego]))</f>
        <v>0.10808280828082809</v>
      </c>
      <c r="D70" s="59">
        <f>(VLOOKUP($A70,Base_dados!$A$5:$H$103,4,FALSE())-MIN(Base_dados!C$5:C$103))/(MAX(Base_dados!C$5:C$103)-MIN(Base_dados!C$5:C$103))</f>
        <v>2.1602160216021603E-4</v>
      </c>
      <c r="E70" s="59">
        <f>(VLOOKUP($A70,Base_dados!$A$5:$H$103,5,FALSE())-MIN(Tabela1[IND03
Complexidade Econômica]))/(MAX(Tabela1[IND03
Complexidade Econômica])-MIN(Tabela1[IND03
Complexidade Econômica]))</f>
        <v>0.3180819668200906</v>
      </c>
      <c r="F70" s="59">
        <f>VLOOKUP($A70,Base_dados!A:H,6,FALSE())</f>
        <v>0</v>
      </c>
      <c r="G70" s="59">
        <f>VLOOKUP($A70,Base_dados!$A$5:$H$103,7,FALSE())</f>
        <v>0</v>
      </c>
      <c r="H70" s="59">
        <f>(VLOOKUP(Tabela4[[#This Row],[CNAE]],Tabela1[],8,FALSE))/100</f>
        <v>0</v>
      </c>
      <c r="I70" s="59">
        <f>(C70*Config_Indicadores!$G$4+D70*Config_Indicadores!$G$5+E70*Config_Indicadores!$G$6+F70*Config_Indicadores!$G$7+G70*Config_Indicadores!$G$7+H70*Config_Indicadores!$G$8)/Config_Indicadores!$G$11</f>
        <v>7.6351943569129568E-2</v>
      </c>
      <c r="J70" s="60">
        <f>RANK(I70,Tabela4[Score Final],0)</f>
        <v>77</v>
      </c>
      <c r="K70" s="54">
        <f>VLOOKUP(Tabela4[[#This Row],[CNAE]],Síntese2!A:G,6,FALSE)</f>
        <v>-27.03</v>
      </c>
      <c r="L70" s="52">
        <f>VLOOKUP(Tabela4[[#This Row],[CNAE]],Síntese2!A:G,3,FALSE)</f>
        <v>596417.69999999995</v>
      </c>
      <c r="M70" s="56" t="str">
        <f>IF(Tabela4[[#This Row],[Tx Variação]]&gt;=MEDIAN(Tabela4[Tx Variação]), "Alto","Baixo")</f>
        <v>Baixo</v>
      </c>
      <c r="N70" s="56" t="str">
        <f>IF(Tabela4[[#This Row],[Volume compra 2025]]&gt;=MEDIAN(Tabela4[Volume compra 2025]), "Alto","Baixo")</f>
        <v>Baixo</v>
      </c>
      <c r="O7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1" spans="1:15">
      <c r="A71" s="58" t="s">
        <v>195</v>
      </c>
      <c r="B71" s="16" t="s">
        <v>196</v>
      </c>
      <c r="C71" s="59">
        <f>(VLOOKUP($A71,Base_dados!$A$5:$H$103,3,FALSE())-MIN(Tabela1[IND01
Emprego]))/(MAX(Tabela1[IND01
Emprego])-MIN(Tabela1[IND01
Emprego]))</f>
        <v>5.7605760576057603E-3</v>
      </c>
      <c r="D71" s="59">
        <f>(VLOOKUP($A71,Base_dados!$A$5:$H$103,4,FALSE())-MIN(Base_dados!C$5:C$103))/(MAX(Base_dados!C$5:C$103)-MIN(Base_dados!C$5:C$103))</f>
        <v>7.9207920792079213E-4</v>
      </c>
      <c r="E71" s="59">
        <f>(VLOOKUP($A71,Base_dados!$A$5:$H$103,5,FALSE())-MIN(Tabela1[IND03
Complexidade Econômica]))/(MAX(Tabela1[IND03
Complexidade Econômica])-MIN(Tabela1[IND03
Complexidade Econômica]))</f>
        <v>0.67999638186458045</v>
      </c>
      <c r="F71" s="59">
        <f>VLOOKUP($A71,Base_dados!A:H,6,FALSE())</f>
        <v>0</v>
      </c>
      <c r="G71" s="59">
        <f>VLOOKUP($A71,Base_dados!$A$5:$H$103,7,FALSE())</f>
        <v>1</v>
      </c>
      <c r="H71" s="59">
        <f>(VLOOKUP(Tabela4[[#This Row],[CNAE]],Tabela1[],8,FALSE))/100</f>
        <v>0.87219999999999998</v>
      </c>
      <c r="I71" s="59">
        <f>(C71*Config_Indicadores!$G$4+D71*Config_Indicadores!$G$5+E71*Config_Indicadores!$G$6+F71*Config_Indicadores!$G$7+G71*Config_Indicadores!$G$7+H71*Config_Indicadores!$G$8)/Config_Indicadores!$G$11</f>
        <v>0.36635851616967324</v>
      </c>
      <c r="J71" s="60">
        <f>RANK(I71,Tabela4[Score Final],0)</f>
        <v>8</v>
      </c>
      <c r="K71" s="54">
        <f>VLOOKUP(Tabela4[[#This Row],[CNAE]],Síntese2!A:G,6,FALSE)</f>
        <v>-90.42</v>
      </c>
      <c r="L71" s="52">
        <f>VLOOKUP(Tabela4[[#This Row],[CNAE]],Síntese2!A:G,3,FALSE)</f>
        <v>544031.25</v>
      </c>
      <c r="M71" s="56" t="str">
        <f>IF(Tabela4[[#This Row],[Tx Variação]]&gt;=MEDIAN(Tabela4[Tx Variação]), "Alto","Baixo")</f>
        <v>Baixo</v>
      </c>
      <c r="N71" s="56" t="str">
        <f>IF(Tabela4[[#This Row],[Volume compra 2025]]&gt;=MEDIAN(Tabela4[Volume compra 2025]), "Alto","Baixo")</f>
        <v>Baixo</v>
      </c>
      <c r="O7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2" spans="1:15">
      <c r="A72" s="58" t="s">
        <v>73</v>
      </c>
      <c r="B72" s="16" t="s">
        <v>74</v>
      </c>
      <c r="C72" s="59">
        <f>(VLOOKUP($A72,Base_dados!$A$5:$H$103,3,FALSE())-MIN(Tabela1[IND01
Emprego]))/(MAX(Tabela1[IND01
Emprego])-MIN(Tabela1[IND01
Emprego]))</f>
        <v>0.17425742574257425</v>
      </c>
      <c r="D72" s="59">
        <f>(VLOOKUP($A72,Base_dados!$A$5:$H$103,4,FALSE())-MIN(Base_dados!C$5:C$103))/(MAX(Base_dados!C$5:C$103)-MIN(Base_dados!C$5:C$103))</f>
        <v>6.840684068406841E-4</v>
      </c>
      <c r="E72" s="59">
        <f>(VLOOKUP($A72,Base_dados!$A$5:$H$103,5,FALSE())-MIN(Tabela1[IND03
Complexidade Econômica]))/(MAX(Tabela1[IND03
Complexidade Econômica])-MIN(Tabela1[IND03
Complexidade Econômica]))</f>
        <v>0.59951655104581958</v>
      </c>
      <c r="F72" s="59">
        <f>VLOOKUP($A72,Base_dados!A:H,6,FALSE())</f>
        <v>0</v>
      </c>
      <c r="G72" s="59">
        <f>VLOOKUP($A72,Base_dados!$A$5:$H$103,7,FALSE())</f>
        <v>1</v>
      </c>
      <c r="H72" s="59">
        <f>(VLOOKUP(Tabela4[[#This Row],[CNAE]],Tabela1[],8,FALSE))/100</f>
        <v>0</v>
      </c>
      <c r="I72" s="59">
        <f>(C72*Config_Indicadores!$G$4+D72*Config_Indicadores!$G$5+E72*Config_Indicadores!$G$6+F72*Config_Indicadores!$G$7+G72*Config_Indicadores!$G$7+H72*Config_Indicadores!$G$8)/Config_Indicadores!$G$11</f>
        <v>0.27838792441968696</v>
      </c>
      <c r="J72" s="60">
        <f>RANK(I72,Tabela4[Score Final],0)</f>
        <v>22</v>
      </c>
      <c r="K72" s="54">
        <f>VLOOKUP(Tabela4[[#This Row],[CNAE]],Síntese2!A:G,6,FALSE)</f>
        <v>-39.03</v>
      </c>
      <c r="L72" s="52">
        <f>VLOOKUP(Tabela4[[#This Row],[CNAE]],Síntese2!A:G,3,FALSE)</f>
        <v>529450.56999999995</v>
      </c>
      <c r="M72" s="56" t="str">
        <f>IF(Tabela4[[#This Row],[Tx Variação]]&gt;=MEDIAN(Tabela4[Tx Variação]), "Alto","Baixo")</f>
        <v>Baixo</v>
      </c>
      <c r="N72" s="56" t="str">
        <f>IF(Tabela4[[#This Row],[Volume compra 2025]]&gt;=MEDIAN(Tabela4[Volume compra 2025]), "Alto","Baixo")</f>
        <v>Baixo</v>
      </c>
      <c r="O7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3" spans="1:15">
      <c r="A73" s="58" t="s">
        <v>47</v>
      </c>
      <c r="B73" s="16" t="s">
        <v>48</v>
      </c>
      <c r="C73" s="59">
        <f>(VLOOKUP($A73,Base_dados!$A$5:$H$103,3,FALSE())-MIN(Tabela1[IND01
Emprego]))/(MAX(Tabela1[IND01
Emprego])-MIN(Tabela1[IND01
Emprego]))</f>
        <v>6.4626462646264621E-2</v>
      </c>
      <c r="D73" s="59">
        <f>(VLOOKUP($A73,Base_dados!$A$5:$H$103,4,FALSE())-MIN(Base_dados!C$5:C$103))/(MAX(Base_dados!C$5:C$103)-MIN(Base_dados!C$5:C$103))</f>
        <v>3.6723672367236725E-3</v>
      </c>
      <c r="E73" s="59">
        <f>(VLOOKUP($A73,Base_dados!$A$5:$H$103,5,FALSE())-MIN(Tabela1[IND03
Complexidade Econômica]))/(MAX(Tabela1[IND03
Complexidade Econômica])-MIN(Tabela1[IND03
Complexidade Econômica]))</f>
        <v>0.19041667334383153</v>
      </c>
      <c r="F73" s="59">
        <f>VLOOKUP($A73,Base_dados!A:H,6,FALSE())</f>
        <v>0</v>
      </c>
      <c r="G73" s="59">
        <f>VLOOKUP($A73,Base_dados!$A$5:$H$103,7,FALSE())</f>
        <v>0</v>
      </c>
      <c r="H73" s="59">
        <f>(VLOOKUP(Tabela4[[#This Row],[CNAE]],Tabela1[],8,FALSE))/100</f>
        <v>0</v>
      </c>
      <c r="I73" s="59">
        <f>(C73*Config_Indicadores!$G$4+D73*Config_Indicadores!$G$5+E73*Config_Indicadores!$G$6+F73*Config_Indicadores!$G$7+G73*Config_Indicadores!$G$7+H73*Config_Indicadores!$G$8)/Config_Indicadores!$G$11</f>
        <v>4.6191709410440637E-2</v>
      </c>
      <c r="J73" s="60">
        <f>RANK(I73,Tabela4[Score Final],0)</f>
        <v>82</v>
      </c>
      <c r="K73" s="54">
        <f>VLOOKUP(Tabela4[[#This Row],[CNAE]],Síntese2!A:G,6,FALSE)</f>
        <v>3.9</v>
      </c>
      <c r="L73" s="52">
        <f>VLOOKUP(Tabela4[[#This Row],[CNAE]],Síntese2!A:G,3,FALSE)</f>
        <v>409363.06</v>
      </c>
      <c r="M73" s="56" t="str">
        <f>IF(Tabela4[[#This Row],[Tx Variação]]&gt;=MEDIAN(Tabela4[Tx Variação]), "Alto","Baixo")</f>
        <v>Alto</v>
      </c>
      <c r="N73" s="56" t="str">
        <f>IF(Tabela4[[#This Row],[Volume compra 2025]]&gt;=MEDIAN(Tabela4[Volume compra 2025]), "Alto","Baixo")</f>
        <v>Baixo</v>
      </c>
      <c r="O7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4" spans="1:15">
      <c r="A74" s="58" t="s">
        <v>179</v>
      </c>
      <c r="B74" s="16" t="s">
        <v>180</v>
      </c>
      <c r="C74" s="59">
        <f>(VLOOKUP($A74,Base_dados!$A$5:$H$103,3,FALSE())-MIN(Tabela1[IND01
Emprego]))/(MAX(Tabela1[IND01
Emprego])-MIN(Tabela1[IND01
Emprego]))</f>
        <v>2.2286228622862288E-2</v>
      </c>
      <c r="D74" s="59">
        <f>(VLOOKUP($A74,Base_dados!$A$5:$H$103,4,FALSE())-MIN(Base_dados!C$5:C$103))/(MAX(Base_dados!C$5:C$103)-MIN(Base_dados!C$5:C$103))</f>
        <v>2.8802880288028804E-4</v>
      </c>
      <c r="E74" s="59">
        <f>(VLOOKUP($A74,Base_dados!$A$5:$H$103,5,FALSE())-MIN(Tabela1[IND03
Complexidade Econômica]))/(MAX(Tabela1[IND03
Complexidade Econômica])-MIN(Tabela1[IND03
Complexidade Econômica]))</f>
        <v>0.78671001968179166</v>
      </c>
      <c r="F74" s="59">
        <f>VLOOKUP($A74,Base_dados!A:H,6,FALSE())</f>
        <v>0</v>
      </c>
      <c r="G74" s="59">
        <f>VLOOKUP($A74,Base_dados!$A$5:$H$103,7,FALSE())</f>
        <v>0</v>
      </c>
      <c r="H74" s="59">
        <f>(VLOOKUP(Tabela4[[#This Row],[CNAE]],Tabela1[],8,FALSE))/100</f>
        <v>7.5499999999999998E-2</v>
      </c>
      <c r="I74" s="59">
        <f>(C74*Config_Indicadores!$G$4+D74*Config_Indicadores!$G$5+E74*Config_Indicadores!$G$6+F74*Config_Indicadores!$G$7+G74*Config_Indicadores!$G$7+H74*Config_Indicadores!$G$8)/Config_Indicadores!$G$11</f>
        <v>0.12958150081862807</v>
      </c>
      <c r="J74" s="60">
        <f>RANK(I74,Tabela4[Score Final],0)</f>
        <v>61</v>
      </c>
      <c r="K74" s="54">
        <f>VLOOKUP(Tabela4[[#This Row],[CNAE]],Síntese2!A:G,6,FALSE)</f>
        <v>175.99</v>
      </c>
      <c r="L74" s="52">
        <f>VLOOKUP(Tabela4[[#This Row],[CNAE]],Síntese2!A:G,3,FALSE)</f>
        <v>375875.27</v>
      </c>
      <c r="M74" s="56" t="str">
        <f>IF(Tabela4[[#This Row],[Tx Variação]]&gt;=MEDIAN(Tabela4[Tx Variação]), "Alto","Baixo")</f>
        <v>Alto</v>
      </c>
      <c r="N74" s="56" t="str">
        <f>IF(Tabela4[[#This Row],[Volume compra 2025]]&gt;=MEDIAN(Tabela4[Volume compra 2025]), "Alto","Baixo")</f>
        <v>Baixo</v>
      </c>
      <c r="O7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5" spans="1:15">
      <c r="A75" s="58" t="s">
        <v>131</v>
      </c>
      <c r="B75" s="16" t="s">
        <v>132</v>
      </c>
      <c r="C75" s="59">
        <f>(VLOOKUP($A75,Base_dados!$A$5:$H$103,3,FALSE())-MIN(Tabela1[IND01
Emprego]))/(MAX(Tabela1[IND01
Emprego])-MIN(Tabela1[IND01
Emprego]))</f>
        <v>1.8577857785778577E-2</v>
      </c>
      <c r="D75" s="59">
        <f>(VLOOKUP($A75,Base_dados!$A$5:$H$103,4,FALSE())-MIN(Base_dados!C$5:C$103))/(MAX(Base_dados!C$5:C$103)-MIN(Base_dados!C$5:C$103))</f>
        <v>4.6804680468046805E-4</v>
      </c>
      <c r="E75" s="59">
        <f>(VLOOKUP($A75,Base_dados!$A$5:$H$103,5,FALSE())-MIN(Tabela1[IND03
Complexidade Econômica]))/(MAX(Tabela1[IND03
Complexidade Econômica])-MIN(Tabela1[IND03
Complexidade Econômica]))</f>
        <v>0.74099371793941748</v>
      </c>
      <c r="F75" s="59">
        <f>VLOOKUP($A75,Base_dados!A:H,6,FALSE())</f>
        <v>1</v>
      </c>
      <c r="G75" s="59">
        <f>VLOOKUP($A75,Base_dados!$A$5:$H$103,7,FALSE())</f>
        <v>0</v>
      </c>
      <c r="H75" s="59">
        <f>(VLOOKUP(Tabela4[[#This Row],[CNAE]],Tabela1[],8,FALSE))/100</f>
        <v>0.20100000000000001</v>
      </c>
      <c r="I75" s="59">
        <f>(C75*Config_Indicadores!$G$4+D75*Config_Indicadores!$G$5+E75*Config_Indicadores!$G$6+F75*Config_Indicadores!$G$7+G75*Config_Indicadores!$G$7+H75*Config_Indicadores!$G$8)/Config_Indicadores!$G$11</f>
        <v>0.28280249718795075</v>
      </c>
      <c r="J75" s="60">
        <f>RANK(I75,Tabela4[Score Final],0)</f>
        <v>21</v>
      </c>
      <c r="K75" s="54">
        <f>VLOOKUP(Tabela4[[#This Row],[CNAE]],Síntese2!A:G,6,FALSE)</f>
        <v>66.930000000000007</v>
      </c>
      <c r="L75" s="52">
        <f>VLOOKUP(Tabela4[[#This Row],[CNAE]],Síntese2!A:G,3,FALSE)</f>
        <v>244771.35</v>
      </c>
      <c r="M75" s="56" t="str">
        <f>IF(Tabela4[[#This Row],[Tx Variação]]&gt;=MEDIAN(Tabela4[Tx Variação]), "Alto","Baixo")</f>
        <v>Alto</v>
      </c>
      <c r="N75" s="56" t="str">
        <f>IF(Tabela4[[#This Row],[Volume compra 2025]]&gt;=MEDIAN(Tabela4[Volume compra 2025]), "Alto","Baixo")</f>
        <v>Baixo</v>
      </c>
      <c r="O7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6" spans="1:15">
      <c r="A76" s="58" t="s">
        <v>85</v>
      </c>
      <c r="B76" s="16" t="s">
        <v>86</v>
      </c>
      <c r="C76" s="59">
        <f>(VLOOKUP($A76,Base_dados!$A$5:$H$103,3,FALSE())-MIN(Tabela1[IND01
Emprego]))/(MAX(Tabela1[IND01
Emprego])-MIN(Tabela1[IND01
Emprego]))</f>
        <v>1.9477947794779477E-2</v>
      </c>
      <c r="D76" s="59">
        <f>(VLOOKUP($A76,Base_dados!$A$5:$H$103,4,FALSE())-MIN(Base_dados!C$5:C$103))/(MAX(Base_dados!C$5:C$103)-MIN(Base_dados!C$5:C$103))</f>
        <v>2.5202520252025204E-3</v>
      </c>
      <c r="E76" s="59">
        <f>(VLOOKUP($A76,Base_dados!$A$5:$H$103,5,FALSE())-MIN(Tabela1[IND03
Complexidade Econômica]))/(MAX(Tabela1[IND03
Complexidade Econômica])-MIN(Tabela1[IND03
Complexidade Econômica]))</f>
        <v>0.18953054836543168</v>
      </c>
      <c r="F76" s="59">
        <f>VLOOKUP($A76,Base_dados!A:H,6,FALSE())</f>
        <v>0</v>
      </c>
      <c r="G76" s="59">
        <f>VLOOKUP($A76,Base_dados!$A$5:$H$103,7,FALSE())</f>
        <v>0</v>
      </c>
      <c r="H76" s="59">
        <f>(VLOOKUP(Tabela4[[#This Row],[CNAE]],Tabela1[],8,FALSE))/100</f>
        <v>9.0700000000000003E-2</v>
      </c>
      <c r="I76" s="59">
        <f>(C76*Config_Indicadores!$G$4+D76*Config_Indicadores!$G$5+E76*Config_Indicadores!$G$6+F76*Config_Indicadores!$G$7+G76*Config_Indicadores!$G$7+H76*Config_Indicadores!$G$8)/Config_Indicadores!$G$11</f>
        <v>4.5958099425741882E-2</v>
      </c>
      <c r="J76" s="60">
        <f>RANK(I76,Tabela4[Score Final],0)</f>
        <v>83</v>
      </c>
      <c r="K76" s="54">
        <f>VLOOKUP(Tabela4[[#This Row],[CNAE]],Síntese2!A:G,6,FALSE)</f>
        <v>-32.119999999999997</v>
      </c>
      <c r="L76" s="52">
        <f>VLOOKUP(Tabela4[[#This Row],[CNAE]],Síntese2!A:G,3,FALSE)</f>
        <v>243922.46</v>
      </c>
      <c r="M76" s="56" t="str">
        <f>IF(Tabela4[[#This Row],[Tx Variação]]&gt;=MEDIAN(Tabela4[Tx Variação]), "Alto","Baixo")</f>
        <v>Baixo</v>
      </c>
      <c r="N76" s="56" t="str">
        <f>IF(Tabela4[[#This Row],[Volume compra 2025]]&gt;=MEDIAN(Tabela4[Volume compra 2025]), "Alto","Baixo")</f>
        <v>Baixo</v>
      </c>
      <c r="O7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7" spans="1:15">
      <c r="A77" s="58" t="s">
        <v>51</v>
      </c>
      <c r="B77" s="16" t="s">
        <v>52</v>
      </c>
      <c r="C77" s="59">
        <f>(VLOOKUP($A77,Base_dados!$A$5:$H$103,3,FALSE())-MIN(Tabela1[IND01
Emprego]))/(MAX(Tabela1[IND01
Emprego])-MIN(Tabela1[IND01
Emprego]))</f>
        <v>9.0945094509450944E-2</v>
      </c>
      <c r="D77" s="59">
        <f>(VLOOKUP($A77,Base_dados!$A$5:$H$103,4,FALSE())-MIN(Base_dados!C$5:C$103))/(MAX(Base_dados!C$5:C$103)-MIN(Base_dados!C$5:C$103))</f>
        <v>2.7722772277227721E-3</v>
      </c>
      <c r="E77" s="59">
        <f>(VLOOKUP($A77,Base_dados!$A$5:$H$103,5,FALSE())-MIN(Tabela1[IND03
Complexidade Econômica]))/(MAX(Tabela1[IND03
Complexidade Econômica])-MIN(Tabela1[IND03
Complexidade Econômica]))</f>
        <v>9.830306698932223E-2</v>
      </c>
      <c r="F77" s="59">
        <f>VLOOKUP($A77,Base_dados!A:H,6,FALSE())</f>
        <v>1</v>
      </c>
      <c r="G77" s="59">
        <f>VLOOKUP($A77,Base_dados!$A$5:$H$103,7,FALSE())</f>
        <v>0</v>
      </c>
      <c r="H77" s="59">
        <f>(VLOOKUP(Tabela4[[#This Row],[CNAE]],Tabela1[],8,FALSE))/100</f>
        <v>1</v>
      </c>
      <c r="I77" s="59">
        <f>(C77*Config_Indicadores!$G$4+D77*Config_Indicadores!$G$5+E77*Config_Indicadores!$G$6+F77*Config_Indicadores!$G$7+G77*Config_Indicadores!$G$7+H77*Config_Indicadores!$G$8)/Config_Indicadores!$G$11</f>
        <v>0.32613793331942098</v>
      </c>
      <c r="J77" s="60">
        <f>RANK(I77,Tabela4[Score Final],0)</f>
        <v>14</v>
      </c>
      <c r="K77" s="54">
        <f>VLOOKUP(Tabela4[[#This Row],[CNAE]],Síntese2!A:G,6,FALSE)</f>
        <v>0</v>
      </c>
      <c r="L77" s="52">
        <f>VLOOKUP(Tabela4[[#This Row],[CNAE]],Síntese2!A:G,3,FALSE)</f>
        <v>242000</v>
      </c>
      <c r="M77" s="56" t="str">
        <f>IF(Tabela4[[#This Row],[Tx Variação]]&gt;=MEDIAN(Tabela4[Tx Variação]), "Alto","Baixo")</f>
        <v>Baixo</v>
      </c>
      <c r="N77" s="56" t="str">
        <f>IF(Tabela4[[#This Row],[Volume compra 2025]]&gt;=MEDIAN(Tabela4[Volume compra 2025]), "Alto","Baixo")</f>
        <v>Baixo</v>
      </c>
      <c r="O7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8" spans="1:15">
      <c r="A78" s="58" t="s">
        <v>129</v>
      </c>
      <c r="B78" s="16" t="s">
        <v>130</v>
      </c>
      <c r="C78" s="59">
        <f>(VLOOKUP($A78,Base_dados!$A$5:$H$103,3,FALSE())-MIN(Tabela1[IND01
Emprego]))/(MAX(Tabela1[IND01
Emprego])-MIN(Tabela1[IND01
Emprego]))</f>
        <v>2.0126012601260127E-2</v>
      </c>
      <c r="D78" s="59">
        <f>(VLOOKUP($A78,Base_dados!$A$5:$H$103,4,FALSE())-MIN(Base_dados!C$5:C$103))/(MAX(Base_dados!C$5:C$103)-MIN(Base_dados!C$5:C$103))</f>
        <v>3.2403240324032403E-4</v>
      </c>
      <c r="E78" s="59">
        <f>(VLOOKUP($A78,Base_dados!$A$5:$H$103,5,FALSE())-MIN(Tabela1[IND03
Complexidade Econômica]))/(MAX(Tabela1[IND03
Complexidade Econômica])-MIN(Tabela1[IND03
Complexidade Econômica]))</f>
        <v>0.70734603573035715</v>
      </c>
      <c r="F78" s="59">
        <f>VLOOKUP($A78,Base_dados!A:H,6,FALSE())</f>
        <v>1</v>
      </c>
      <c r="G78" s="59">
        <f>VLOOKUP($A78,Base_dados!$A$5:$H$103,7,FALSE())</f>
        <v>1</v>
      </c>
      <c r="H78" s="59">
        <f>(VLOOKUP(Tabela4[[#This Row],[CNAE]],Tabela1[],8,FALSE))/100</f>
        <v>0</v>
      </c>
      <c r="I78" s="59">
        <f>(C78*Config_Indicadores!$G$4+D78*Config_Indicadores!$G$5+E78*Config_Indicadores!$G$6+F78*Config_Indicadores!$G$7+G78*Config_Indicadores!$G$7+H78*Config_Indicadores!$G$8)/Config_Indicadores!$G$11</f>
        <v>0.39256029904801676</v>
      </c>
      <c r="J78" s="60">
        <f>RANK(I78,Tabela4[Score Final],0)</f>
        <v>6</v>
      </c>
      <c r="K78" s="54">
        <f>VLOOKUP(Tabela4[[#This Row],[CNAE]],Síntese2!A:G,6,FALSE)</f>
        <v>-40.94</v>
      </c>
      <c r="L78" s="52">
        <f>VLOOKUP(Tabela4[[#This Row],[CNAE]],Síntese2!A:G,3,FALSE)</f>
        <v>238602.53</v>
      </c>
      <c r="M78" s="56" t="str">
        <f>IF(Tabela4[[#This Row],[Tx Variação]]&gt;=MEDIAN(Tabela4[Tx Variação]), "Alto","Baixo")</f>
        <v>Baixo</v>
      </c>
      <c r="N78" s="56" t="str">
        <f>IF(Tabela4[[#This Row],[Volume compra 2025]]&gt;=MEDIAN(Tabela4[Volume compra 2025]), "Alto","Baixo")</f>
        <v>Baixo</v>
      </c>
      <c r="O7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9" spans="1:15">
      <c r="A79" s="58" t="s">
        <v>127</v>
      </c>
      <c r="B79" s="16" t="s">
        <v>128</v>
      </c>
      <c r="C79" s="59">
        <f>(VLOOKUP($A79,Base_dados!$A$5:$H$103,3,FALSE())-MIN(Tabela1[IND01
Emprego]))/(MAX(Tabela1[IND01
Emprego])-MIN(Tabela1[IND01
Emprego]))</f>
        <v>0.12248424842484248</v>
      </c>
      <c r="D79" s="59">
        <f>(VLOOKUP($A79,Base_dados!$A$5:$H$103,4,FALSE())-MIN(Base_dados!C$5:C$103))/(MAX(Base_dados!C$5:C$103)-MIN(Base_dados!C$5:C$103))</f>
        <v>1.6885688568856885E-2</v>
      </c>
      <c r="E79" s="59">
        <f>(VLOOKUP($A79,Base_dados!$A$5:$H$103,5,FALSE())-MIN(Tabela1[IND03
Complexidade Econômica]))/(MAX(Tabela1[IND03
Complexidade Econômica])-MIN(Tabela1[IND03
Complexidade Econômica]))</f>
        <v>0.31146302794161057</v>
      </c>
      <c r="F79" s="59">
        <f>VLOOKUP($A79,Base_dados!A:H,6,FALSE())</f>
        <v>0</v>
      </c>
      <c r="G79" s="59">
        <f>VLOOKUP($A79,Base_dados!$A$5:$H$103,7,FALSE())</f>
        <v>0</v>
      </c>
      <c r="H79" s="59">
        <f>(VLOOKUP(Tabela4[[#This Row],[CNAE]],Tabela1[],8,FALSE))/100</f>
        <v>0</v>
      </c>
      <c r="I79" s="59">
        <f>(C79*Config_Indicadores!$G$4+D79*Config_Indicadores!$G$5+E79*Config_Indicadores!$G$6+F79*Config_Indicadores!$G$7+G79*Config_Indicadores!$G$7+H79*Config_Indicadores!$G$8)/Config_Indicadores!$G$11</f>
        <v>8.1902459051450341E-2</v>
      </c>
      <c r="J79" s="60">
        <f>RANK(I79,Tabela4[Score Final],0)</f>
        <v>75</v>
      </c>
      <c r="K79" s="54">
        <f>VLOOKUP(Tabela4[[#This Row],[CNAE]],Síntese2!A:G,6,FALSE)</f>
        <v>8.15</v>
      </c>
      <c r="L79" s="52">
        <f>VLOOKUP(Tabela4[[#This Row],[CNAE]],Síntese2!A:G,3,FALSE)</f>
        <v>169689.18</v>
      </c>
      <c r="M79" s="56" t="str">
        <f>IF(Tabela4[[#This Row],[Tx Variação]]&gt;=MEDIAN(Tabela4[Tx Variação]), "Alto","Baixo")</f>
        <v>Alto</v>
      </c>
      <c r="N79" s="56" t="str">
        <f>IF(Tabela4[[#This Row],[Volume compra 2025]]&gt;=MEDIAN(Tabela4[Volume compra 2025]), "Alto","Baixo")</f>
        <v>Baixo</v>
      </c>
      <c r="O7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80" spans="1:15">
      <c r="A80" s="58" t="s">
        <v>57</v>
      </c>
      <c r="B80" s="16" t="s">
        <v>58</v>
      </c>
      <c r="C80" s="59">
        <f>(VLOOKUP($A80,Base_dados!$A$5:$H$103,3,FALSE())-MIN(Tabela1[IND01
Emprego]))/(MAX(Tabela1[IND01
Emprego])-MIN(Tabela1[IND01
Emprego]))</f>
        <v>5.9549954995499553E-2</v>
      </c>
      <c r="D80" s="59">
        <f>(VLOOKUP($A80,Base_dados!$A$5:$H$103,4,FALSE())-MIN(Base_dados!C$5:C$103))/(MAX(Base_dados!C$5:C$103)-MIN(Base_dados!C$5:C$103))</f>
        <v>1.3321332133213321E-3</v>
      </c>
      <c r="E80" s="59">
        <f>(VLOOKUP($A80,Base_dados!$A$5:$H$103,5,FALSE())-MIN(Tabela1[IND03
Complexidade Econômica]))/(MAX(Tabela1[IND03
Complexidade Econômica])-MIN(Tabela1[IND03
Complexidade Econômica]))</f>
        <v>0.32613167886087763</v>
      </c>
      <c r="F80" s="59">
        <f>VLOOKUP($A80,Base_dados!A:H,6,FALSE())</f>
        <v>0</v>
      </c>
      <c r="G80" s="59">
        <f>VLOOKUP($A80,Base_dados!$A$5:$H$103,7,FALSE())</f>
        <v>0</v>
      </c>
      <c r="H80" s="59">
        <f>(VLOOKUP(Tabela4[[#This Row],[CNAE]],Tabela1[],8,FALSE))/100</f>
        <v>0</v>
      </c>
      <c r="I80" s="59">
        <f>(C80*Config_Indicadores!$G$4+D80*Config_Indicadores!$G$5+E80*Config_Indicadores!$G$6+F80*Config_Indicadores!$G$7+G80*Config_Indicadores!$G$7+H80*Config_Indicadores!$G$8)/Config_Indicadores!$G$11</f>
        <v>6.379481743788544E-2</v>
      </c>
      <c r="J80" s="60">
        <f>RANK(I80,Tabela4[Score Final],0)</f>
        <v>81</v>
      </c>
      <c r="K80" s="54">
        <f>VLOOKUP(Tabela4[[#This Row],[CNAE]],Síntese2!A:G,6,FALSE)</f>
        <v>-4.54</v>
      </c>
      <c r="L80" s="52">
        <f>VLOOKUP(Tabela4[[#This Row],[CNAE]],Síntese2!A:G,3,FALSE)</f>
        <v>97408.3</v>
      </c>
      <c r="M80" s="56" t="str">
        <f>IF(Tabela4[[#This Row],[Tx Variação]]&gt;=MEDIAN(Tabela4[Tx Variação]), "Alto","Baixo")</f>
        <v>Baixo</v>
      </c>
      <c r="N80" s="56" t="str">
        <f>IF(Tabela4[[#This Row],[Volume compra 2025]]&gt;=MEDIAN(Tabela4[Volume compra 2025]), "Alto","Baixo")</f>
        <v>Baixo</v>
      </c>
      <c r="O8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1" spans="1:15">
      <c r="A81" s="58" t="s">
        <v>97</v>
      </c>
      <c r="B81" s="16" t="s">
        <v>98</v>
      </c>
      <c r="C81" s="59">
        <f>(VLOOKUP($A81,Base_dados!$A$5:$H$103,3,FALSE())-MIN(Tabela1[IND01
Emprego]))/(MAX(Tabela1[IND01
Emprego])-MIN(Tabela1[IND01
Emprego]))</f>
        <v>2.8802880288028804E-4</v>
      </c>
      <c r="D81" s="59">
        <f>(VLOOKUP($A81,Base_dados!$A$5:$H$103,4,FALSE())-MIN(Base_dados!C$5:C$103))/(MAX(Base_dados!C$5:C$103)-MIN(Base_dados!C$5:C$103))</f>
        <v>1.4401440144014402E-4</v>
      </c>
      <c r="E81" s="59">
        <f>(VLOOKUP($A81,Base_dados!$A$5:$H$103,5,FALSE())-MIN(Tabela1[IND03
Complexidade Econômica]))/(MAX(Tabela1[IND03
Complexidade Econômica])-MIN(Tabela1[IND03
Complexidade Econômica]))</f>
        <v>0.63322799231484406</v>
      </c>
      <c r="F81" s="59">
        <f>VLOOKUP($A81,Base_dados!A:H,6,FALSE())</f>
        <v>0</v>
      </c>
      <c r="G81" s="59">
        <f>VLOOKUP($A81,Base_dados!$A$5:$H$103,7,FALSE())</f>
        <v>0</v>
      </c>
      <c r="H81" s="59">
        <f>(VLOOKUP(Tabela4[[#This Row],[CNAE]],Tabela1[],8,FALSE))/100</f>
        <v>0</v>
      </c>
      <c r="I81" s="59">
        <f>(C81*Config_Indicadores!$G$4+D81*Config_Indicadores!$G$5+E81*Config_Indicadores!$G$6+F81*Config_Indicadores!$G$7+G81*Config_Indicadores!$G$7+H81*Config_Indicadores!$G$8)/Config_Indicadores!$G$11</f>
        <v>9.0564009188863537E-2</v>
      </c>
      <c r="J81" s="60">
        <f>RANK(I81,Tabela4[Score Final],0)</f>
        <v>72</v>
      </c>
      <c r="K81" s="54">
        <f>VLOOKUP(Tabela4[[#This Row],[CNAE]],Síntese2!A:G,6,FALSE)</f>
        <v>0</v>
      </c>
      <c r="L81" s="52">
        <f>VLOOKUP(Tabela4[[#This Row],[CNAE]],Síntese2!A:G,3,FALSE)</f>
        <v>58016.65</v>
      </c>
      <c r="M81" s="56" t="str">
        <f>IF(Tabela4[[#This Row],[Tx Variação]]&gt;=MEDIAN(Tabela4[Tx Variação]), "Alto","Baixo")</f>
        <v>Baixo</v>
      </c>
      <c r="N81" s="56" t="str">
        <f>IF(Tabela4[[#This Row],[Volume compra 2025]]&gt;=MEDIAN(Tabela4[Volume compra 2025]), "Alto","Baixo")</f>
        <v>Baixo</v>
      </c>
      <c r="O8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2" spans="1:15">
      <c r="A82" s="58" t="s">
        <v>49</v>
      </c>
      <c r="B82" s="16" t="s">
        <v>50</v>
      </c>
      <c r="C82" s="59">
        <f>(VLOOKUP($A82,Base_dados!$A$5:$H$103,3,FALSE())-MIN(Tabela1[IND01
Emprego]))/(MAX(Tabela1[IND01
Emprego])-MIN(Tabela1[IND01
Emprego]))</f>
        <v>1</v>
      </c>
      <c r="D82" s="59">
        <f>(VLOOKUP($A82,Base_dados!$A$5:$H$103,4,FALSE())-MIN(Base_dados!C$5:C$103))/(MAX(Base_dados!C$5:C$103)-MIN(Base_dados!C$5:C$103))</f>
        <v>0.30124212421242125</v>
      </c>
      <c r="E82" s="59">
        <f>(VLOOKUP($A82,Base_dados!$A$5:$H$103,5,FALSE())-MIN(Tabela1[IND03
Complexidade Econômica]))/(MAX(Tabela1[IND03
Complexidade Econômica])-MIN(Tabela1[IND03
Complexidade Econômica]))</f>
        <v>0</v>
      </c>
      <c r="F82" s="59">
        <f>VLOOKUP($A82,Base_dados!A:H,6,FALSE())</f>
        <v>1</v>
      </c>
      <c r="G82" s="59">
        <f>VLOOKUP($A82,Base_dados!$A$5:$H$103,7,FALSE())</f>
        <v>0</v>
      </c>
      <c r="H82" s="59">
        <f>(VLOOKUP(Tabela4[[#This Row],[CNAE]],Tabela1[],8,FALSE))/100</f>
        <v>0</v>
      </c>
      <c r="I82" s="59">
        <f>(C82*Config_Indicadores!$G$4+D82*Config_Indicadores!$G$5+E82*Config_Indicadores!$G$6+F82*Config_Indicadores!$G$7+G82*Config_Indicadores!$G$7+H82*Config_Indicadores!$G$8)/Config_Indicadores!$G$11</f>
        <v>0.47160601774463157</v>
      </c>
      <c r="J82" s="60">
        <f>RANK(I82,Tabela4[Score Final],0)</f>
        <v>2</v>
      </c>
      <c r="K82" s="54">
        <f>VLOOKUP(Tabela4[[#This Row],[CNAE]],Síntese2!A:G,6,FALSE)</f>
        <v>0</v>
      </c>
      <c r="L82" s="52">
        <f>VLOOKUP(Tabela4[[#This Row],[CNAE]],Síntese2!A:G,3,FALSE)</f>
        <v>49500</v>
      </c>
      <c r="M82" s="56" t="str">
        <f>IF(Tabela4[[#This Row],[Tx Variação]]&gt;=MEDIAN(Tabela4[Tx Variação]), "Alto","Baixo")</f>
        <v>Baixo</v>
      </c>
      <c r="N82" s="56" t="str">
        <f>IF(Tabela4[[#This Row],[Volume compra 2025]]&gt;=MEDIAN(Tabela4[Volume compra 2025]), "Alto","Baixo")</f>
        <v>Baixo</v>
      </c>
      <c r="O8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3" spans="1:15">
      <c r="A83" s="58" t="s">
        <v>79</v>
      </c>
      <c r="B83" s="16" t="s">
        <v>80</v>
      </c>
      <c r="C83" s="59">
        <f>(VLOOKUP($A83,Base_dados!$A$5:$H$103,3,FALSE())-MIN(Tabela1[IND01
Emprego]))/(MAX(Tabela1[IND01
Emprego])-MIN(Tabela1[IND01
Emprego]))</f>
        <v>9.7101710171017097E-2</v>
      </c>
      <c r="D83" s="59">
        <f>(VLOOKUP($A83,Base_dados!$A$5:$H$103,4,FALSE())-MIN(Base_dados!C$5:C$103))/(MAX(Base_dados!C$5:C$103)-MIN(Base_dados!C$5:C$103))</f>
        <v>5.4005400540054003E-4</v>
      </c>
      <c r="E83" s="59">
        <f>(VLOOKUP($A83,Base_dados!$A$5:$H$103,5,FALSE())-MIN(Tabela1[IND03
Complexidade Econômica]))/(MAX(Tabela1[IND03
Complexidade Econômica])-MIN(Tabela1[IND03
Complexidade Econômica]))</f>
        <v>0.4249602004632389</v>
      </c>
      <c r="F83" s="59">
        <f>VLOOKUP($A83,Base_dados!A:H,6,FALSE())</f>
        <v>0</v>
      </c>
      <c r="G83" s="59">
        <f>VLOOKUP($A83,Base_dados!$A$5:$H$103,7,FALSE())</f>
        <v>1</v>
      </c>
      <c r="H83" s="59">
        <f>(VLOOKUP(Tabela4[[#This Row],[CNAE]],Tabela1[],8,FALSE))/100</f>
        <v>0.69370000000000009</v>
      </c>
      <c r="I83" s="59">
        <f>(C83*Config_Indicadores!$G$4+D83*Config_Indicadores!$G$5+E83*Config_Indicadores!$G$6+F83*Config_Indicadores!$G$7+G83*Config_Indicadores!$G$7+H83*Config_Indicadores!$G$8)/Config_Indicadores!$G$11</f>
        <v>0.33048623925866766</v>
      </c>
      <c r="J83" s="60">
        <f>RANK(I83,Tabela4[Score Final],0)</f>
        <v>12</v>
      </c>
      <c r="K83" s="54">
        <f>VLOOKUP(Tabela4[[#This Row],[CNAE]],Síntese2!A:G,6,FALSE)</f>
        <v>-92.97</v>
      </c>
      <c r="L83" s="52">
        <f>VLOOKUP(Tabela4[[#This Row],[CNAE]],Síntese2!A:G,3,FALSE)</f>
        <v>47212.26</v>
      </c>
      <c r="M83" s="56" t="str">
        <f>IF(Tabela4[[#This Row],[Tx Variação]]&gt;=MEDIAN(Tabela4[Tx Variação]), "Alto","Baixo")</f>
        <v>Baixo</v>
      </c>
      <c r="N83" s="56" t="str">
        <f>IF(Tabela4[[#This Row],[Volume compra 2025]]&gt;=MEDIAN(Tabela4[Volume compra 2025]), "Alto","Baixo")</f>
        <v>Baixo</v>
      </c>
      <c r="O8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4" spans="1:15">
      <c r="A84" s="58" t="s">
        <v>71</v>
      </c>
      <c r="B84" s="16" t="s">
        <v>72</v>
      </c>
      <c r="C84" s="59">
        <f>(VLOOKUP($A84,Base_dados!$A$5:$H$103,3,FALSE())-MIN(Tabela1[IND01
Emprego]))/(MAX(Tabela1[IND01
Emprego])-MIN(Tabela1[IND01
Emprego]))</f>
        <v>9.2385238523852387E-2</v>
      </c>
      <c r="D84" s="59">
        <f>(VLOOKUP($A84,Base_dados!$A$5:$H$103,4,FALSE())-MIN(Base_dados!C$5:C$103))/(MAX(Base_dados!C$5:C$103)-MIN(Base_dados!C$5:C$103))</f>
        <v>1.8721872187218722E-3</v>
      </c>
      <c r="E84" s="59">
        <f>(VLOOKUP($A84,Base_dados!$A$5:$H$103,5,FALSE())-MIN(Tabela1[IND03
Complexidade Econômica]))/(MAX(Tabela1[IND03
Complexidade Econômica])-MIN(Tabela1[IND03
Complexidade Econômica]))</f>
        <v>0.52372504819143739</v>
      </c>
      <c r="F84" s="59">
        <f>VLOOKUP($A84,Base_dados!A:H,6,FALSE())</f>
        <v>0</v>
      </c>
      <c r="G84" s="59">
        <f>VLOOKUP($A84,Base_dados!$A$5:$H$103,7,FALSE())</f>
        <v>1</v>
      </c>
      <c r="H84" s="59">
        <f>(VLOOKUP(Tabela4[[#This Row],[CNAE]],Tabela1[],8,FALSE))/100</f>
        <v>0</v>
      </c>
      <c r="I84" s="59">
        <f>(C84*Config_Indicadores!$G$4+D84*Config_Indicadores!$G$5+E84*Config_Indicadores!$G$6+F84*Config_Indicadores!$G$7+G84*Config_Indicadores!$G$7+H84*Config_Indicadores!$G$8)/Config_Indicadores!$G$11</f>
        <v>0.2443382446368377</v>
      </c>
      <c r="J84" s="60">
        <f>RANK(I84,Tabela4[Score Final],0)</f>
        <v>33</v>
      </c>
      <c r="K84" s="54">
        <f>VLOOKUP(Tabela4[[#This Row],[CNAE]],Síntese2!A:G,6,FALSE)</f>
        <v>-88.83</v>
      </c>
      <c r="L84" s="52">
        <f>VLOOKUP(Tabela4[[#This Row],[CNAE]],Síntese2!A:G,3,FALSE)</f>
        <v>23622.54</v>
      </c>
      <c r="M84" s="56" t="str">
        <f>IF(Tabela4[[#This Row],[Tx Variação]]&gt;=MEDIAN(Tabela4[Tx Variação]), "Alto","Baixo")</f>
        <v>Baixo</v>
      </c>
      <c r="N84" s="56" t="str">
        <f>IF(Tabela4[[#This Row],[Volume compra 2025]]&gt;=MEDIAN(Tabela4[Volume compra 2025]), "Alto","Baixo")</f>
        <v>Baixo</v>
      </c>
      <c r="O8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5" spans="1:15">
      <c r="A85" s="58" t="s">
        <v>157</v>
      </c>
      <c r="B85" s="16" t="s">
        <v>158</v>
      </c>
      <c r="C85" s="59">
        <f>(VLOOKUP($A85,Base_dados!$A$5:$H$103,3,FALSE())-MIN(Tabela1[IND01
Emprego]))/(MAX(Tabela1[IND01
Emprego])-MIN(Tabela1[IND01
Emprego]))</f>
        <v>1.4401440144014402E-4</v>
      </c>
      <c r="D85" s="59">
        <f>(VLOOKUP($A85,Base_dados!$A$5:$H$103,4,FALSE())-MIN(Base_dados!C$5:C$103))/(MAX(Base_dados!C$5:C$103)-MIN(Base_dados!C$5:C$103))</f>
        <v>3.6003600360036005E-5</v>
      </c>
      <c r="E85" s="59">
        <f>(VLOOKUP($A85,Base_dados!$A$5:$H$103,5,FALSE())-MIN(Tabela1[IND03
Complexidade Econômica]))/(MAX(Tabela1[IND03
Complexidade Econômica])-MIN(Tabela1[IND03
Complexidade Econômica]))</f>
        <v>0.88454197375359467</v>
      </c>
      <c r="F85" s="59">
        <f>VLOOKUP($A85,Base_dados!A:H,6,FALSE())</f>
        <v>0</v>
      </c>
      <c r="G85" s="59">
        <f>VLOOKUP($A85,Base_dados!$A$5:$H$103,7,FALSE())</f>
        <v>0</v>
      </c>
      <c r="H85" s="59">
        <f>(VLOOKUP(Tabela4[[#This Row],[CNAE]],Tabela1[],8,FALSE))/100</f>
        <v>0</v>
      </c>
      <c r="I85" s="59">
        <f>(C85*Config_Indicadores!$G$4+D85*Config_Indicadores!$G$5+E85*Config_Indicadores!$G$6+F85*Config_Indicadores!$G$7+G85*Config_Indicadores!$G$7+H85*Config_Indicadores!$G$8)/Config_Indicadores!$G$11</f>
        <v>0.12640942945097641</v>
      </c>
      <c r="J85" s="60">
        <f>RANK(I85,Tabela4[Score Final],0)</f>
        <v>64</v>
      </c>
      <c r="K85" s="54">
        <f>VLOOKUP(Tabela4[[#This Row],[CNAE]],Síntese2!A:G,6,FALSE)</f>
        <v>0</v>
      </c>
      <c r="L85" s="52">
        <f>VLOOKUP(Tabela4[[#This Row],[CNAE]],Síntese2!A:G,3,FALSE)</f>
        <v>1093.6600000000001</v>
      </c>
      <c r="M85" s="56" t="str">
        <f>IF(Tabela4[[#This Row],[Tx Variação]]&gt;=MEDIAN(Tabela4[Tx Variação]), "Alto","Baixo")</f>
        <v>Baixo</v>
      </c>
      <c r="N85" s="56" t="str">
        <f>IF(Tabela4[[#This Row],[Volume compra 2025]]&gt;=MEDIAN(Tabela4[Volume compra 2025]), "Alto","Baixo")</f>
        <v>Baixo</v>
      </c>
      <c r="O8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6" spans="1:15">
      <c r="A86" s="58" t="s">
        <v>67</v>
      </c>
      <c r="B86" s="16" t="s">
        <v>68</v>
      </c>
      <c r="C86" s="59">
        <f>(VLOOKUP($A86,Base_dados!$A$5:$H$103,3,FALSE())-MIN(Tabela1[IND01
Emprego]))/(MAX(Tabela1[IND01
Emprego])-MIN(Tabela1[IND01
Emprego]))</f>
        <v>0.10682268226822682</v>
      </c>
      <c r="D86" s="59">
        <f>(VLOOKUP($A86,Base_dados!$A$5:$H$103,4,FALSE())-MIN(Base_dados!C$5:C$103))/(MAX(Base_dados!C$5:C$103)-MIN(Base_dados!C$5:C$103))</f>
        <v>2.34023402340234E-3</v>
      </c>
      <c r="E86" s="59">
        <f>(VLOOKUP($A86,Base_dados!$A$5:$H$103,5,FALSE())-MIN(Tabela1[IND03
Complexidade Econômica]))/(MAX(Tabela1[IND03
Complexidade Econômica])-MIN(Tabela1[IND03
Complexidade Econômica]))</f>
        <v>0.2854834475658965</v>
      </c>
      <c r="F86" s="59">
        <f>VLOOKUP($A86,Base_dados!A:H,6,FALSE())</f>
        <v>0</v>
      </c>
      <c r="G86" s="59">
        <f>VLOOKUP($A86,Base_dados!$A$5:$H$103,7,FALSE())</f>
        <v>0</v>
      </c>
      <c r="H86" s="59">
        <f>(VLOOKUP(Tabela4[[#This Row],[CNAE]],Tabela1[],8,FALSE))/100</f>
        <v>0</v>
      </c>
      <c r="I86" s="59">
        <f>(C86*Config_Indicadores!$G$4+D86*Config_Indicadores!$G$5+E86*Config_Indicadores!$G$6+F86*Config_Indicadores!$G$7+G86*Config_Indicadores!$G$7+H86*Config_Indicadores!$G$8)/Config_Indicadores!$G$11</f>
        <v>7.1638435160821787E-2</v>
      </c>
      <c r="J86" s="60">
        <f>RANK(I86,Tabela4[Score Final],0)</f>
        <v>78</v>
      </c>
      <c r="K86" s="54">
        <f>VLOOKUP(Tabela4[[#This Row],[CNAE]],Síntese2!A:G,6,FALSE)</f>
        <v>-50.56</v>
      </c>
      <c r="L86" s="52">
        <f>VLOOKUP(Tabela4[[#This Row],[CNAE]],Síntese2!A:G,3,FALSE)</f>
        <v>421.2</v>
      </c>
      <c r="M86" s="56" t="str">
        <f>IF(Tabela4[[#This Row],[Tx Variação]]&gt;=MEDIAN(Tabela4[Tx Variação]), "Alto","Baixo")</f>
        <v>Baixo</v>
      </c>
      <c r="N86" s="56" t="str">
        <f>IF(Tabela4[[#This Row],[Volume compra 2025]]&gt;=MEDIAN(Tabela4[Volume compra 2025]), "Alto","Baixo")</f>
        <v>Baixo</v>
      </c>
      <c r="O8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7" spans="1:15">
      <c r="A87" s="58" t="s">
        <v>191</v>
      </c>
      <c r="B87" s="16" t="s">
        <v>192</v>
      </c>
      <c r="C87" s="59">
        <f>(VLOOKUP($A87,Base_dados!$A$5:$H$103,3,FALSE())-MIN(Tabela1[IND01
Emprego]))/(MAX(Tabela1[IND01
Emprego])-MIN(Tabela1[IND01
Emprego]))</f>
        <v>3.4599459945994601E-2</v>
      </c>
      <c r="D87" s="59">
        <f>(VLOOKUP($A87,Base_dados!$A$5:$H$103,4,FALSE())-MIN(Base_dados!C$5:C$103))/(MAX(Base_dados!C$5:C$103)-MIN(Base_dados!C$5:C$103))</f>
        <v>5.0405040504050409E-4</v>
      </c>
      <c r="E87" s="59">
        <f>(VLOOKUP($A87,Base_dados!$A$5:$H$103,5,FALSE())-MIN(Tabela1[IND03
Complexidade Econômica]))/(MAX(Tabela1[IND03
Complexidade Econômica])-MIN(Tabela1[IND03
Complexidade Econômica]))</f>
        <v>0.53707742367465738</v>
      </c>
      <c r="F87" s="59">
        <f>VLOOKUP($A87,Base_dados!A:H,6,FALSE())</f>
        <v>0</v>
      </c>
      <c r="G87" s="59">
        <f>VLOOKUP($A87,Base_dados!$A$5:$H$103,7,FALSE())</f>
        <v>0</v>
      </c>
      <c r="H87" s="59">
        <f>(VLOOKUP(Tabela4[[#This Row],[CNAE]],Tabela1[],8,FALSE))/100</f>
        <v>0.98519999999999996</v>
      </c>
      <c r="I87" s="59">
        <f>(C87*Config_Indicadores!$G$4+D87*Config_Indicadores!$G$5+E87*Config_Indicadores!$G$6+F87*Config_Indicadores!$G$7+G87*Config_Indicadores!$G$7+H87*Config_Indicadores!$G$8)/Config_Indicadores!$G$11</f>
        <v>0.22742577056738389</v>
      </c>
      <c r="J87" s="60">
        <f>RANK(I87,Tabela4[Score Final],0)</f>
        <v>39</v>
      </c>
      <c r="K87" s="55">
        <v>0</v>
      </c>
      <c r="L87" s="52">
        <v>0</v>
      </c>
      <c r="M87" s="56" t="str">
        <f>IF(Tabela4[[#This Row],[Tx Variação]]&gt;=MEDIAN(Tabela4[Tx Variação]), "Alto","Baixo")</f>
        <v>Baixo</v>
      </c>
      <c r="N87" s="56" t="str">
        <f>IF(Tabela4[[#This Row],[Volume compra 2025]]&gt;=MEDIAN(Tabela4[Volume compra 2025]), "Alto","Baixo")</f>
        <v>Baixo</v>
      </c>
      <c r="O8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608D-0522-4BEA-94D6-4821CEF877CC}">
  <dimension ref="A1:H85"/>
  <sheetViews>
    <sheetView workbookViewId="0">
      <selection activeCell="J20" sqref="J20"/>
    </sheetView>
  </sheetViews>
  <sheetFormatPr defaultRowHeight="14.45"/>
  <cols>
    <col min="1" max="1" width="12.85546875" bestFit="1" customWidth="1"/>
    <col min="2" max="2" width="100.42578125" bestFit="1" customWidth="1"/>
    <col min="3" max="3" width="16" bestFit="1" customWidth="1"/>
    <col min="4" max="4" width="8.140625" bestFit="1" customWidth="1"/>
    <col min="5" max="5" width="16" bestFit="1" customWidth="1"/>
    <col min="6" max="6" width="12.85546875" bestFit="1" customWidth="1"/>
    <col min="7" max="7" width="15.85546875" bestFit="1" customWidth="1"/>
    <col min="8" max="8" width="4.85546875" bestFit="1" customWidth="1"/>
  </cols>
  <sheetData>
    <row r="1" spans="1:8">
      <c r="A1" s="45" t="s">
        <v>227</v>
      </c>
      <c r="B1" s="45" t="s">
        <v>228</v>
      </c>
      <c r="C1" s="45" t="s">
        <v>229</v>
      </c>
      <c r="D1" s="45" t="s">
        <v>230</v>
      </c>
      <c r="E1" s="45" t="s">
        <v>231</v>
      </c>
      <c r="F1" s="45" t="s">
        <v>232</v>
      </c>
      <c r="G1" s="46" t="s">
        <v>233</v>
      </c>
      <c r="H1" s="45" t="s">
        <v>234</v>
      </c>
    </row>
    <row r="2" spans="1:8">
      <c r="A2" s="51" t="s">
        <v>47</v>
      </c>
      <c r="B2" s="47" t="s">
        <v>48</v>
      </c>
      <c r="C2" s="49">
        <v>409363.06</v>
      </c>
      <c r="D2" s="48">
        <v>0.01</v>
      </c>
      <c r="E2" s="49">
        <v>15380.7</v>
      </c>
      <c r="F2" s="48">
        <v>3.9</v>
      </c>
      <c r="G2" s="50">
        <v>0</v>
      </c>
      <c r="H2" s="48" t="s">
        <v>235</v>
      </c>
    </row>
    <row r="3" spans="1:8">
      <c r="A3" s="51" t="s">
        <v>49</v>
      </c>
      <c r="B3" s="47" t="s">
        <v>50</v>
      </c>
      <c r="C3" s="49">
        <v>49500</v>
      </c>
      <c r="D3" s="48">
        <v>0</v>
      </c>
      <c r="E3" s="49">
        <v>49500</v>
      </c>
      <c r="F3" s="48"/>
      <c r="G3" s="50">
        <v>0</v>
      </c>
      <c r="H3" s="48" t="s">
        <v>235</v>
      </c>
    </row>
    <row r="4" spans="1:8">
      <c r="A4" s="51" t="s">
        <v>51</v>
      </c>
      <c r="B4" s="47" t="s">
        <v>52</v>
      </c>
      <c r="C4" s="49">
        <v>242000</v>
      </c>
      <c r="D4" s="48">
        <v>0.01</v>
      </c>
      <c r="E4" s="49">
        <v>242000</v>
      </c>
      <c r="F4" s="48"/>
      <c r="G4" s="50">
        <v>100</v>
      </c>
      <c r="H4" s="48" t="s">
        <v>235</v>
      </c>
    </row>
    <row r="5" spans="1:8">
      <c r="A5" s="51" t="s">
        <v>53</v>
      </c>
      <c r="B5" s="47" t="s">
        <v>54</v>
      </c>
      <c r="C5" s="49">
        <v>2314737.2000000002</v>
      </c>
      <c r="D5" s="48">
        <v>7.0000000000000007E-2</v>
      </c>
      <c r="E5" s="49">
        <v>29435.279999999999</v>
      </c>
      <c r="F5" s="48">
        <v>1.29</v>
      </c>
      <c r="G5" s="50">
        <v>0</v>
      </c>
      <c r="H5" s="48" t="s">
        <v>235</v>
      </c>
    </row>
    <row r="6" spans="1:8">
      <c r="A6" s="51" t="s">
        <v>55</v>
      </c>
      <c r="B6" s="47" t="s">
        <v>56</v>
      </c>
      <c r="C6" s="49">
        <v>1555329.24</v>
      </c>
      <c r="D6" s="48">
        <v>0.05</v>
      </c>
      <c r="E6" s="49">
        <v>-6589.8</v>
      </c>
      <c r="F6" s="48">
        <v>-0.42</v>
      </c>
      <c r="G6" s="50">
        <v>0</v>
      </c>
      <c r="H6" s="48" t="s">
        <v>235</v>
      </c>
    </row>
    <row r="7" spans="1:8">
      <c r="A7" s="51" t="s">
        <v>57</v>
      </c>
      <c r="B7" s="47" t="s">
        <v>58</v>
      </c>
      <c r="C7" s="49">
        <v>97408.3</v>
      </c>
      <c r="D7" s="48">
        <v>0</v>
      </c>
      <c r="E7" s="49">
        <v>-4629.4799999999996</v>
      </c>
      <c r="F7" s="48">
        <v>-4.54</v>
      </c>
      <c r="G7" s="50">
        <v>0</v>
      </c>
      <c r="H7" s="48" t="s">
        <v>235</v>
      </c>
    </row>
    <row r="8" spans="1:8">
      <c r="A8" s="51" t="s">
        <v>59</v>
      </c>
      <c r="B8" s="47" t="s">
        <v>60</v>
      </c>
      <c r="C8" s="49">
        <v>2251589.4300000002</v>
      </c>
      <c r="D8" s="48">
        <v>7.0000000000000007E-2</v>
      </c>
      <c r="E8" s="49">
        <v>372025.31</v>
      </c>
      <c r="F8" s="48">
        <v>19.79</v>
      </c>
      <c r="G8" s="50">
        <v>0.41</v>
      </c>
      <c r="H8" s="48" t="s">
        <v>235</v>
      </c>
    </row>
    <row r="9" spans="1:8">
      <c r="A9" s="51" t="s">
        <v>61</v>
      </c>
      <c r="B9" s="47" t="s">
        <v>62</v>
      </c>
      <c r="C9" s="49">
        <v>44621709.799999997</v>
      </c>
      <c r="D9" s="48">
        <v>1.44</v>
      </c>
      <c r="E9" s="49">
        <v>30045065.690000001</v>
      </c>
      <c r="F9" s="48">
        <v>206.12</v>
      </c>
      <c r="G9" s="50">
        <v>1.29</v>
      </c>
      <c r="H9" s="48" t="s">
        <v>235</v>
      </c>
    </row>
    <row r="10" spans="1:8">
      <c r="A10" s="51" t="s">
        <v>63</v>
      </c>
      <c r="B10" s="47" t="s">
        <v>64</v>
      </c>
      <c r="C10" s="49">
        <v>596417.69999999995</v>
      </c>
      <c r="D10" s="48">
        <v>0.02</v>
      </c>
      <c r="E10" s="49">
        <v>-220878.83</v>
      </c>
      <c r="F10" s="48">
        <v>-27.03</v>
      </c>
      <c r="G10" s="50">
        <v>0</v>
      </c>
      <c r="H10" s="48" t="s">
        <v>235</v>
      </c>
    </row>
    <row r="11" spans="1:8">
      <c r="A11" s="51" t="s">
        <v>65</v>
      </c>
      <c r="B11" s="47" t="s">
        <v>66</v>
      </c>
      <c r="C11" s="49">
        <v>17578312.59</v>
      </c>
      <c r="D11" s="48">
        <v>0.56999999999999995</v>
      </c>
      <c r="E11" s="49">
        <v>4993525.54</v>
      </c>
      <c r="F11" s="48">
        <v>39.68</v>
      </c>
      <c r="G11" s="50">
        <v>48.06</v>
      </c>
      <c r="H11" s="48" t="s">
        <v>235</v>
      </c>
    </row>
    <row r="12" spans="1:8">
      <c r="A12" s="51" t="s">
        <v>67</v>
      </c>
      <c r="B12" s="47" t="s">
        <v>68</v>
      </c>
      <c r="C12" s="49">
        <v>421.2</v>
      </c>
      <c r="D12" s="48">
        <v>0</v>
      </c>
      <c r="E12" s="49">
        <v>-430.72</v>
      </c>
      <c r="F12" s="48">
        <v>-50.56</v>
      </c>
      <c r="G12" s="50">
        <v>0</v>
      </c>
      <c r="H12" s="48" t="s">
        <v>235</v>
      </c>
    </row>
    <row r="13" spans="1:8">
      <c r="A13" s="51" t="s">
        <v>69</v>
      </c>
      <c r="B13" s="47" t="s">
        <v>70</v>
      </c>
      <c r="C13" s="49">
        <v>8187866.4699999997</v>
      </c>
      <c r="D13" s="48">
        <v>0.26</v>
      </c>
      <c r="E13" s="49">
        <v>1175732.6299999999</v>
      </c>
      <c r="F13" s="48">
        <v>16.77</v>
      </c>
      <c r="G13" s="50">
        <v>2.0699999999999998</v>
      </c>
      <c r="H13" s="48" t="s">
        <v>235</v>
      </c>
    </row>
    <row r="14" spans="1:8">
      <c r="A14" s="51" t="s">
        <v>71</v>
      </c>
      <c r="B14" s="47" t="s">
        <v>72</v>
      </c>
      <c r="C14" s="49">
        <v>23622.54</v>
      </c>
      <c r="D14" s="48">
        <v>0</v>
      </c>
      <c r="E14" s="49">
        <v>-187949.94</v>
      </c>
      <c r="F14" s="48">
        <v>-88.83</v>
      </c>
      <c r="G14" s="50">
        <v>0</v>
      </c>
      <c r="H14" s="48" t="s">
        <v>235</v>
      </c>
    </row>
    <row r="15" spans="1:8">
      <c r="A15" s="51" t="s">
        <v>73</v>
      </c>
      <c r="B15" s="47" t="s">
        <v>74</v>
      </c>
      <c r="C15" s="49">
        <v>529450.56999999995</v>
      </c>
      <c r="D15" s="48">
        <v>0.02</v>
      </c>
      <c r="E15" s="49">
        <v>-338965.59</v>
      </c>
      <c r="F15" s="48">
        <v>-39.03</v>
      </c>
      <c r="G15" s="50">
        <v>0</v>
      </c>
      <c r="H15" s="48" t="s">
        <v>235</v>
      </c>
    </row>
    <row r="16" spans="1:8">
      <c r="A16" s="51" t="s">
        <v>75</v>
      </c>
      <c r="B16" s="47" t="s">
        <v>76</v>
      </c>
      <c r="C16" s="49">
        <v>11890405.279999999</v>
      </c>
      <c r="D16" s="48">
        <v>0.38</v>
      </c>
      <c r="E16" s="49">
        <v>5633014.6100000003</v>
      </c>
      <c r="F16" s="48">
        <v>90.02</v>
      </c>
      <c r="G16" s="50">
        <v>76.3</v>
      </c>
      <c r="H16" s="48" t="s">
        <v>235</v>
      </c>
    </row>
    <row r="17" spans="1:8">
      <c r="A17" s="51" t="s">
        <v>77</v>
      </c>
      <c r="B17" s="47" t="s">
        <v>78</v>
      </c>
      <c r="C17" s="49">
        <v>65230981.450000003</v>
      </c>
      <c r="D17" s="48">
        <v>2.11</v>
      </c>
      <c r="E17" s="49">
        <v>10693943.43</v>
      </c>
      <c r="F17" s="48">
        <v>19.61</v>
      </c>
      <c r="G17" s="50">
        <v>26.18</v>
      </c>
      <c r="H17" s="48" t="s">
        <v>235</v>
      </c>
    </row>
    <row r="18" spans="1:8">
      <c r="A18" s="51" t="s">
        <v>77</v>
      </c>
      <c r="B18" s="47" t="s">
        <v>78</v>
      </c>
      <c r="C18" s="49">
        <v>33572508.939999998</v>
      </c>
      <c r="D18" s="48">
        <v>1.0900000000000001</v>
      </c>
      <c r="E18" s="49">
        <v>7360123.6100000003</v>
      </c>
      <c r="F18" s="48">
        <v>28.08</v>
      </c>
      <c r="G18" s="50">
        <v>2.66</v>
      </c>
      <c r="H18" s="48" t="s">
        <v>235</v>
      </c>
    </row>
    <row r="19" spans="1:8">
      <c r="A19" s="51" t="s">
        <v>79</v>
      </c>
      <c r="B19" s="47" t="s">
        <v>80</v>
      </c>
      <c r="C19" s="49">
        <v>47212.26</v>
      </c>
      <c r="D19" s="48">
        <v>0</v>
      </c>
      <c r="E19" s="49">
        <v>-624207.09</v>
      </c>
      <c r="F19" s="48">
        <v>-92.97</v>
      </c>
      <c r="G19" s="50">
        <v>69.37</v>
      </c>
      <c r="H19" s="48" t="s">
        <v>235</v>
      </c>
    </row>
    <row r="20" spans="1:8">
      <c r="A20" s="51" t="s">
        <v>81</v>
      </c>
      <c r="B20" s="47" t="s">
        <v>82</v>
      </c>
      <c r="C20" s="49">
        <v>718210.54</v>
      </c>
      <c r="D20" s="48">
        <v>0.02</v>
      </c>
      <c r="E20" s="49">
        <v>380505.59</v>
      </c>
      <c r="F20" s="48">
        <v>112.67</v>
      </c>
      <c r="G20" s="50">
        <v>74.94</v>
      </c>
      <c r="H20" s="48" t="s">
        <v>235</v>
      </c>
    </row>
    <row r="21" spans="1:8">
      <c r="A21" s="51" t="s">
        <v>83</v>
      </c>
      <c r="B21" s="47" t="s">
        <v>84</v>
      </c>
      <c r="C21" s="49">
        <v>1083679.45</v>
      </c>
      <c r="D21" s="48">
        <v>0.04</v>
      </c>
      <c r="E21" s="49">
        <v>-781655.72</v>
      </c>
      <c r="F21" s="48">
        <v>-41.9</v>
      </c>
      <c r="G21" s="50">
        <v>79.8</v>
      </c>
      <c r="H21" s="48" t="s">
        <v>235</v>
      </c>
    </row>
    <row r="22" spans="1:8">
      <c r="A22" s="51" t="s">
        <v>85</v>
      </c>
      <c r="B22" s="47" t="s">
        <v>86</v>
      </c>
      <c r="C22" s="49">
        <v>243922.46</v>
      </c>
      <c r="D22" s="48">
        <v>0.01</v>
      </c>
      <c r="E22" s="49">
        <v>-115412.2</v>
      </c>
      <c r="F22" s="48">
        <v>-32.119999999999997</v>
      </c>
      <c r="G22" s="50">
        <v>9.07</v>
      </c>
      <c r="H22" s="48" t="s">
        <v>235</v>
      </c>
    </row>
    <row r="23" spans="1:8">
      <c r="A23" s="51" t="s">
        <v>87</v>
      </c>
      <c r="B23" s="47" t="s">
        <v>88</v>
      </c>
      <c r="C23" s="49">
        <v>1021084.09</v>
      </c>
      <c r="D23" s="48">
        <v>0.03</v>
      </c>
      <c r="E23" s="49">
        <v>-274187.8</v>
      </c>
      <c r="F23" s="48">
        <v>-21.17</v>
      </c>
      <c r="G23" s="50">
        <v>0</v>
      </c>
      <c r="H23" s="48" t="s">
        <v>235</v>
      </c>
    </row>
    <row r="24" spans="1:8">
      <c r="A24" s="51" t="s">
        <v>89</v>
      </c>
      <c r="B24" s="47" t="s">
        <v>90</v>
      </c>
      <c r="C24" s="49">
        <v>9123023.9499999993</v>
      </c>
      <c r="D24" s="48">
        <v>0.3</v>
      </c>
      <c r="E24" s="49">
        <v>-77371.72</v>
      </c>
      <c r="F24" s="48">
        <v>-0.84</v>
      </c>
      <c r="G24" s="50">
        <v>54.9</v>
      </c>
      <c r="H24" s="48" t="s">
        <v>235</v>
      </c>
    </row>
    <row r="25" spans="1:8">
      <c r="A25" s="51" t="s">
        <v>91</v>
      </c>
      <c r="B25" s="47" t="s">
        <v>92</v>
      </c>
      <c r="C25" s="49">
        <v>2104914.69</v>
      </c>
      <c r="D25" s="48">
        <v>7.0000000000000007E-2</v>
      </c>
      <c r="E25" s="49">
        <v>-229722.64</v>
      </c>
      <c r="F25" s="48">
        <v>-9.84</v>
      </c>
      <c r="G25" s="50">
        <v>45.1</v>
      </c>
      <c r="H25" s="48" t="s">
        <v>235</v>
      </c>
    </row>
    <row r="26" spans="1:8">
      <c r="A26" s="51" t="s">
        <v>93</v>
      </c>
      <c r="B26" s="47" t="s">
        <v>94</v>
      </c>
      <c r="C26" s="49">
        <v>20660760.16</v>
      </c>
      <c r="D26" s="48">
        <v>0.67</v>
      </c>
      <c r="E26" s="49">
        <v>-3818210.92</v>
      </c>
      <c r="F26" s="48">
        <v>-15.6</v>
      </c>
      <c r="G26" s="50">
        <v>1.7</v>
      </c>
      <c r="H26" s="48" t="s">
        <v>235</v>
      </c>
    </row>
    <row r="27" spans="1:8">
      <c r="A27" s="51" t="s">
        <v>95</v>
      </c>
      <c r="B27" s="47" t="s">
        <v>96</v>
      </c>
      <c r="C27" s="49">
        <v>5055711.34</v>
      </c>
      <c r="D27" s="48">
        <v>0.16</v>
      </c>
      <c r="E27" s="49">
        <v>-1148257.71</v>
      </c>
      <c r="F27" s="48">
        <v>-18.510000000000002</v>
      </c>
      <c r="G27" s="50">
        <v>7.25</v>
      </c>
      <c r="H27" s="48" t="s">
        <v>235</v>
      </c>
    </row>
    <row r="28" spans="1:8">
      <c r="A28" s="51" t="s">
        <v>97</v>
      </c>
      <c r="B28" s="47" t="s">
        <v>98</v>
      </c>
      <c r="C28" s="49">
        <v>58016.65</v>
      </c>
      <c r="D28" s="48">
        <v>0</v>
      </c>
      <c r="E28" s="49">
        <v>58016.65</v>
      </c>
      <c r="F28" s="48"/>
      <c r="G28" s="50">
        <v>0</v>
      </c>
      <c r="H28" s="48" t="s">
        <v>235</v>
      </c>
    </row>
    <row r="29" spans="1:8">
      <c r="A29" s="51" t="s">
        <v>99</v>
      </c>
      <c r="B29" s="47" t="s">
        <v>100</v>
      </c>
      <c r="C29" s="49">
        <v>4020034.71</v>
      </c>
      <c r="D29" s="48">
        <v>0.13</v>
      </c>
      <c r="E29" s="49">
        <v>-1964771.92</v>
      </c>
      <c r="F29" s="48">
        <v>-32.83</v>
      </c>
      <c r="G29" s="50">
        <v>49.99</v>
      </c>
      <c r="H29" s="48" t="s">
        <v>235</v>
      </c>
    </row>
    <row r="30" spans="1:8">
      <c r="A30" s="51" t="s">
        <v>101</v>
      </c>
      <c r="B30" s="47" t="s">
        <v>192</v>
      </c>
      <c r="C30" s="49">
        <v>5013861.3499999996</v>
      </c>
      <c r="D30" s="48">
        <v>0.16</v>
      </c>
      <c r="E30" s="49">
        <v>4933261.3499999996</v>
      </c>
      <c r="F30" s="48">
        <v>6120.67</v>
      </c>
      <c r="G30" s="50">
        <v>98.52</v>
      </c>
      <c r="H30" s="48" t="s">
        <v>235</v>
      </c>
    </row>
    <row r="31" spans="1:8">
      <c r="A31" s="51" t="s">
        <v>101</v>
      </c>
      <c r="B31" s="47" t="s">
        <v>102</v>
      </c>
      <c r="C31" s="49">
        <v>1678492.27</v>
      </c>
      <c r="D31" s="48">
        <v>0.05</v>
      </c>
      <c r="E31" s="49">
        <v>151179.23000000001</v>
      </c>
      <c r="F31" s="48">
        <v>9.9</v>
      </c>
      <c r="G31" s="50">
        <v>0</v>
      </c>
      <c r="H31" s="48" t="s">
        <v>235</v>
      </c>
    </row>
    <row r="32" spans="1:8">
      <c r="A32" s="51" t="s">
        <v>103</v>
      </c>
      <c r="B32" s="47" t="s">
        <v>104</v>
      </c>
      <c r="C32" s="49">
        <v>1463796.43</v>
      </c>
      <c r="D32" s="48">
        <v>0.05</v>
      </c>
      <c r="E32" s="49">
        <v>-1367674.74</v>
      </c>
      <c r="F32" s="48">
        <v>-48.3</v>
      </c>
      <c r="G32" s="50">
        <v>1.1499999999999999</v>
      </c>
      <c r="H32" s="48" t="s">
        <v>235</v>
      </c>
    </row>
    <row r="33" spans="1:8">
      <c r="A33" s="51" t="s">
        <v>105</v>
      </c>
      <c r="B33" s="47" t="s">
        <v>106</v>
      </c>
      <c r="C33" s="49">
        <v>12163365.51</v>
      </c>
      <c r="D33" s="48">
        <v>0.39</v>
      </c>
      <c r="E33" s="49">
        <v>-5754879.2999999998</v>
      </c>
      <c r="F33" s="48">
        <v>-32.119999999999997</v>
      </c>
      <c r="G33" s="50">
        <v>1.79</v>
      </c>
      <c r="H33" s="48" t="s">
        <v>235</v>
      </c>
    </row>
    <row r="34" spans="1:8">
      <c r="A34" s="51" t="s">
        <v>107</v>
      </c>
      <c r="B34" s="47" t="s">
        <v>108</v>
      </c>
      <c r="C34" s="49">
        <v>1209169.7</v>
      </c>
      <c r="D34" s="48">
        <v>0.04</v>
      </c>
      <c r="E34" s="49">
        <v>-1751334.58</v>
      </c>
      <c r="F34" s="48">
        <v>-59.16</v>
      </c>
      <c r="G34" s="50">
        <v>0.7</v>
      </c>
      <c r="H34" s="48" t="s">
        <v>235</v>
      </c>
    </row>
    <row r="35" spans="1:8">
      <c r="A35" s="51" t="s">
        <v>109</v>
      </c>
      <c r="B35" s="47" t="s">
        <v>110</v>
      </c>
      <c r="C35" s="49">
        <v>7770695.4100000001</v>
      </c>
      <c r="D35" s="48">
        <v>0.25</v>
      </c>
      <c r="E35" s="49">
        <v>-3118258.13</v>
      </c>
      <c r="F35" s="48">
        <v>-28.64</v>
      </c>
      <c r="G35" s="50">
        <v>47.88</v>
      </c>
      <c r="H35" s="48" t="s">
        <v>235</v>
      </c>
    </row>
    <row r="36" spans="1:8">
      <c r="A36" s="51" t="s">
        <v>111</v>
      </c>
      <c r="B36" s="47" t="s">
        <v>112</v>
      </c>
      <c r="C36" s="49">
        <v>77553396.230000004</v>
      </c>
      <c r="D36" s="48">
        <v>2.5099999999999998</v>
      </c>
      <c r="E36" s="49">
        <v>14880901.26</v>
      </c>
      <c r="F36" s="48">
        <v>23.74</v>
      </c>
      <c r="G36" s="50">
        <v>60.76</v>
      </c>
      <c r="H36" s="48" t="s">
        <v>235</v>
      </c>
    </row>
    <row r="37" spans="1:8">
      <c r="A37" s="51" t="s">
        <v>113</v>
      </c>
      <c r="B37" s="47" t="s">
        <v>114</v>
      </c>
      <c r="C37" s="49">
        <v>886075138.92999995</v>
      </c>
      <c r="D37" s="48">
        <v>28.65</v>
      </c>
      <c r="E37" s="49">
        <v>298052164.63999999</v>
      </c>
      <c r="F37" s="48">
        <v>50.69</v>
      </c>
      <c r="G37" s="50">
        <v>79.42</v>
      </c>
      <c r="H37" s="48" t="s">
        <v>235</v>
      </c>
    </row>
    <row r="38" spans="1:8">
      <c r="A38" s="51" t="s">
        <v>115</v>
      </c>
      <c r="B38" s="47" t="s">
        <v>116</v>
      </c>
      <c r="C38" s="49">
        <v>5892364.5</v>
      </c>
      <c r="D38" s="48">
        <v>0.19</v>
      </c>
      <c r="E38" s="49">
        <v>660229.88</v>
      </c>
      <c r="F38" s="48">
        <v>12.62</v>
      </c>
      <c r="G38" s="50">
        <v>31.88</v>
      </c>
      <c r="H38" s="48" t="s">
        <v>235</v>
      </c>
    </row>
    <row r="39" spans="1:8">
      <c r="A39" s="51" t="s">
        <v>117</v>
      </c>
      <c r="B39" s="47" t="s">
        <v>118</v>
      </c>
      <c r="C39" s="49">
        <v>31694552.649999999</v>
      </c>
      <c r="D39" s="48">
        <v>1.02</v>
      </c>
      <c r="E39" s="49">
        <v>16628970.869999999</v>
      </c>
      <c r="F39" s="48">
        <v>110.38</v>
      </c>
      <c r="G39" s="50">
        <v>2.1</v>
      </c>
      <c r="H39" s="48" t="s">
        <v>235</v>
      </c>
    </row>
    <row r="40" spans="1:8">
      <c r="A40" s="51" t="s">
        <v>119</v>
      </c>
      <c r="B40" s="47" t="s">
        <v>120</v>
      </c>
      <c r="C40" s="49">
        <v>943828.49</v>
      </c>
      <c r="D40" s="48">
        <v>0.03</v>
      </c>
      <c r="E40" s="49">
        <v>-699007.31</v>
      </c>
      <c r="F40" s="48">
        <v>-42.55</v>
      </c>
      <c r="G40" s="50">
        <v>1.06</v>
      </c>
      <c r="H40" s="48" t="s">
        <v>235</v>
      </c>
    </row>
    <row r="41" spans="1:8">
      <c r="A41" s="51" t="s">
        <v>121</v>
      </c>
      <c r="B41" s="47" t="s">
        <v>122</v>
      </c>
      <c r="C41" s="49">
        <v>10912412.689999999</v>
      </c>
      <c r="D41" s="48">
        <v>0.35</v>
      </c>
      <c r="E41" s="49">
        <v>-2228841.87</v>
      </c>
      <c r="F41" s="48">
        <v>-16.96</v>
      </c>
      <c r="G41" s="50">
        <v>70.58</v>
      </c>
      <c r="H41" s="48" t="s">
        <v>235</v>
      </c>
    </row>
    <row r="42" spans="1:8">
      <c r="A42" s="51" t="s">
        <v>123</v>
      </c>
      <c r="B42" s="47" t="s">
        <v>124</v>
      </c>
      <c r="C42" s="49">
        <v>811765.46</v>
      </c>
      <c r="D42" s="48">
        <v>0.03</v>
      </c>
      <c r="E42" s="49">
        <v>-613385.36</v>
      </c>
      <c r="F42" s="48">
        <v>-43.04</v>
      </c>
      <c r="G42" s="50">
        <v>0</v>
      </c>
      <c r="H42" s="48" t="s">
        <v>235</v>
      </c>
    </row>
    <row r="43" spans="1:8">
      <c r="A43" s="51" t="s">
        <v>125</v>
      </c>
      <c r="B43" s="47" t="s">
        <v>126</v>
      </c>
      <c r="C43" s="49">
        <v>3819976.66</v>
      </c>
      <c r="D43" s="48">
        <v>0.12</v>
      </c>
      <c r="E43" s="49">
        <v>752062.09</v>
      </c>
      <c r="F43" s="48">
        <v>24.51</v>
      </c>
      <c r="G43" s="50">
        <v>1.1399999999999999</v>
      </c>
      <c r="H43" s="48" t="s">
        <v>235</v>
      </c>
    </row>
    <row r="44" spans="1:8">
      <c r="A44" s="51" t="s">
        <v>127</v>
      </c>
      <c r="B44" s="47" t="s">
        <v>128</v>
      </c>
      <c r="C44" s="49">
        <v>169689.18</v>
      </c>
      <c r="D44" s="48">
        <v>0.01</v>
      </c>
      <c r="E44" s="49">
        <v>12788.02</v>
      </c>
      <c r="F44" s="48">
        <v>8.15</v>
      </c>
      <c r="G44" s="50">
        <v>0</v>
      </c>
      <c r="H44" s="48" t="s">
        <v>235</v>
      </c>
    </row>
    <row r="45" spans="1:8">
      <c r="A45" s="51" t="s">
        <v>129</v>
      </c>
      <c r="B45" s="47" t="s">
        <v>130</v>
      </c>
      <c r="C45" s="49">
        <v>238602.53</v>
      </c>
      <c r="D45" s="48">
        <v>0.01</v>
      </c>
      <c r="E45" s="49">
        <v>-165402.76999999999</v>
      </c>
      <c r="F45" s="48">
        <v>-40.94</v>
      </c>
      <c r="G45" s="50">
        <v>0</v>
      </c>
      <c r="H45" s="48" t="s">
        <v>235</v>
      </c>
    </row>
    <row r="46" spans="1:8">
      <c r="A46" s="51" t="s">
        <v>131</v>
      </c>
      <c r="B46" s="47" t="s">
        <v>132</v>
      </c>
      <c r="C46" s="49">
        <v>244771.35</v>
      </c>
      <c r="D46" s="48">
        <v>0.01</v>
      </c>
      <c r="E46" s="49">
        <v>98139.18</v>
      </c>
      <c r="F46" s="48">
        <v>66.930000000000007</v>
      </c>
      <c r="G46" s="50">
        <v>20.100000000000001</v>
      </c>
      <c r="H46" s="48" t="s">
        <v>235</v>
      </c>
    </row>
    <row r="47" spans="1:8">
      <c r="A47" s="51" t="s">
        <v>133</v>
      </c>
      <c r="B47" s="47" t="s">
        <v>134</v>
      </c>
      <c r="C47" s="49">
        <v>1961109.48</v>
      </c>
      <c r="D47" s="48">
        <v>0.06</v>
      </c>
      <c r="E47" s="49">
        <v>1078231.69</v>
      </c>
      <c r="F47" s="48">
        <v>122.13</v>
      </c>
      <c r="G47" s="50">
        <v>1.1499999999999999</v>
      </c>
      <c r="H47" s="48" t="s">
        <v>235</v>
      </c>
    </row>
    <row r="48" spans="1:8">
      <c r="A48" s="51" t="s">
        <v>135</v>
      </c>
      <c r="B48" s="47" t="s">
        <v>136</v>
      </c>
      <c r="C48" s="49">
        <v>8698702.0899999999</v>
      </c>
      <c r="D48" s="48">
        <v>0.28000000000000003</v>
      </c>
      <c r="E48" s="49">
        <v>7274135.29</v>
      </c>
      <c r="F48" s="48">
        <v>510.62</v>
      </c>
      <c r="G48" s="50">
        <v>0</v>
      </c>
      <c r="H48" s="48" t="s">
        <v>235</v>
      </c>
    </row>
    <row r="49" spans="1:8">
      <c r="A49" s="51" t="s">
        <v>137</v>
      </c>
      <c r="B49" s="47" t="s">
        <v>138</v>
      </c>
      <c r="C49" s="49">
        <v>2829777.24</v>
      </c>
      <c r="D49" s="48">
        <v>0.09</v>
      </c>
      <c r="E49" s="49">
        <v>1020971.43</v>
      </c>
      <c r="F49" s="48">
        <v>56.44</v>
      </c>
      <c r="G49" s="50">
        <v>46.33</v>
      </c>
      <c r="H49" s="48" t="s">
        <v>235</v>
      </c>
    </row>
    <row r="50" spans="1:8">
      <c r="A50" s="51" t="s">
        <v>139</v>
      </c>
      <c r="B50" s="47" t="s">
        <v>140</v>
      </c>
      <c r="C50" s="49">
        <v>43604058.710000001</v>
      </c>
      <c r="D50" s="48">
        <v>1.41</v>
      </c>
      <c r="E50" s="49">
        <v>15698298.279999999</v>
      </c>
      <c r="F50" s="48">
        <v>56.25</v>
      </c>
      <c r="G50" s="50">
        <v>99.91</v>
      </c>
      <c r="H50" s="48" t="s">
        <v>235</v>
      </c>
    </row>
    <row r="51" spans="1:8">
      <c r="A51" s="51" t="s">
        <v>141</v>
      </c>
      <c r="B51" s="47" t="s">
        <v>142</v>
      </c>
      <c r="C51" s="49">
        <v>12127014.130000001</v>
      </c>
      <c r="D51" s="48">
        <v>0.39</v>
      </c>
      <c r="E51" s="49">
        <v>5297894.62</v>
      </c>
      <c r="F51" s="48">
        <v>77.58</v>
      </c>
      <c r="G51" s="50">
        <v>48.06</v>
      </c>
      <c r="H51" s="48" t="s">
        <v>235</v>
      </c>
    </row>
    <row r="52" spans="1:8">
      <c r="A52" s="51" t="s">
        <v>143</v>
      </c>
      <c r="B52" s="47" t="s">
        <v>144</v>
      </c>
      <c r="C52" s="49">
        <v>7573527.3700000001</v>
      </c>
      <c r="D52" s="48">
        <v>0.24</v>
      </c>
      <c r="E52" s="49">
        <v>113877.92</v>
      </c>
      <c r="F52" s="48">
        <v>1.53</v>
      </c>
      <c r="G52" s="50">
        <v>35.450000000000003</v>
      </c>
      <c r="H52" s="48" t="s">
        <v>235</v>
      </c>
    </row>
    <row r="53" spans="1:8">
      <c r="A53" s="51" t="s">
        <v>145</v>
      </c>
      <c r="B53" s="47" t="s">
        <v>146</v>
      </c>
      <c r="C53" s="49">
        <v>166216466.69</v>
      </c>
      <c r="D53" s="48">
        <v>5.38</v>
      </c>
      <c r="E53" s="49">
        <v>41500780.090000004</v>
      </c>
      <c r="F53" s="48">
        <v>33.28</v>
      </c>
      <c r="G53" s="50">
        <v>14.31</v>
      </c>
      <c r="H53" s="48" t="s">
        <v>235</v>
      </c>
    </row>
    <row r="54" spans="1:8">
      <c r="A54" s="51" t="s">
        <v>147</v>
      </c>
      <c r="B54" s="47" t="s">
        <v>148</v>
      </c>
      <c r="C54" s="49">
        <v>7058865.4100000001</v>
      </c>
      <c r="D54" s="48">
        <v>0.23</v>
      </c>
      <c r="E54" s="49">
        <v>4025212.79</v>
      </c>
      <c r="F54" s="48">
        <v>132.69</v>
      </c>
      <c r="G54" s="50">
        <v>89.09</v>
      </c>
      <c r="H54" s="48" t="s">
        <v>235</v>
      </c>
    </row>
    <row r="55" spans="1:8">
      <c r="A55" s="51" t="s">
        <v>149</v>
      </c>
      <c r="B55" s="47" t="s">
        <v>150</v>
      </c>
      <c r="C55" s="49">
        <v>3599622.88</v>
      </c>
      <c r="D55" s="48">
        <v>0.12</v>
      </c>
      <c r="E55" s="49">
        <v>-6395706.9000000004</v>
      </c>
      <c r="F55" s="48">
        <v>-63.99</v>
      </c>
      <c r="G55" s="50">
        <v>68.09</v>
      </c>
      <c r="H55" s="48" t="s">
        <v>235</v>
      </c>
    </row>
    <row r="56" spans="1:8">
      <c r="A56" s="51" t="s">
        <v>151</v>
      </c>
      <c r="B56" s="47" t="s">
        <v>152</v>
      </c>
      <c r="C56" s="49">
        <v>42369184.630000003</v>
      </c>
      <c r="D56" s="48">
        <v>1.37</v>
      </c>
      <c r="E56" s="49">
        <v>-90733575</v>
      </c>
      <c r="F56" s="48">
        <v>-68.17</v>
      </c>
      <c r="G56" s="50">
        <v>86</v>
      </c>
      <c r="H56" s="48" t="s">
        <v>235</v>
      </c>
    </row>
    <row r="57" spans="1:8">
      <c r="A57" s="51" t="s">
        <v>153</v>
      </c>
      <c r="B57" s="47" t="s">
        <v>154</v>
      </c>
      <c r="C57" s="49">
        <v>13459898.359999999</v>
      </c>
      <c r="D57" s="48">
        <v>0.44</v>
      </c>
      <c r="E57" s="49">
        <v>7034114.1799999997</v>
      </c>
      <c r="F57" s="48">
        <v>109.47</v>
      </c>
      <c r="G57" s="50">
        <v>98.06</v>
      </c>
      <c r="H57" s="48" t="s">
        <v>235</v>
      </c>
    </row>
    <row r="58" spans="1:8">
      <c r="A58" s="51" t="s">
        <v>155</v>
      </c>
      <c r="B58" s="47" t="s">
        <v>156</v>
      </c>
      <c r="C58" s="49">
        <v>2344963.44</v>
      </c>
      <c r="D58" s="48">
        <v>0.08</v>
      </c>
      <c r="E58" s="49">
        <v>-5735326.7300000004</v>
      </c>
      <c r="F58" s="48">
        <v>-70.98</v>
      </c>
      <c r="G58" s="50">
        <v>54.08</v>
      </c>
      <c r="H58" s="48" t="s">
        <v>235</v>
      </c>
    </row>
    <row r="59" spans="1:8">
      <c r="A59" s="51" t="s">
        <v>157</v>
      </c>
      <c r="B59" s="47" t="s">
        <v>158</v>
      </c>
      <c r="C59" s="49">
        <v>1093.6600000000001</v>
      </c>
      <c r="D59" s="48">
        <v>0</v>
      </c>
      <c r="E59" s="49">
        <v>1093.6600000000001</v>
      </c>
      <c r="F59" s="48"/>
      <c r="G59" s="50">
        <v>0</v>
      </c>
      <c r="H59" s="48" t="s">
        <v>235</v>
      </c>
    </row>
    <row r="60" spans="1:8">
      <c r="A60" s="51" t="s">
        <v>159</v>
      </c>
      <c r="B60" s="47" t="s">
        <v>160</v>
      </c>
      <c r="C60" s="49">
        <v>3766643.89</v>
      </c>
      <c r="D60" s="48">
        <v>0.12</v>
      </c>
      <c r="E60" s="49">
        <v>-74463.820000000007</v>
      </c>
      <c r="F60" s="48">
        <v>-1.94</v>
      </c>
      <c r="G60" s="50">
        <v>95.93</v>
      </c>
      <c r="H60" s="48" t="s">
        <v>235</v>
      </c>
    </row>
    <row r="61" spans="1:8">
      <c r="A61" s="51" t="s">
        <v>161</v>
      </c>
      <c r="B61" s="47" t="s">
        <v>162</v>
      </c>
      <c r="C61" s="49">
        <v>999605.98</v>
      </c>
      <c r="D61" s="48">
        <v>0.03</v>
      </c>
      <c r="E61" s="49">
        <v>14502.12</v>
      </c>
      <c r="F61" s="48">
        <v>1.47</v>
      </c>
      <c r="G61" s="50">
        <v>11.95</v>
      </c>
      <c r="H61" s="48" t="s">
        <v>235</v>
      </c>
    </row>
    <row r="62" spans="1:8">
      <c r="A62" s="51" t="s">
        <v>163</v>
      </c>
      <c r="B62" s="47" t="s">
        <v>164</v>
      </c>
      <c r="C62" s="49">
        <v>18239438.420000002</v>
      </c>
      <c r="D62" s="48">
        <v>0.59</v>
      </c>
      <c r="E62" s="49">
        <v>11962490.720000001</v>
      </c>
      <c r="F62" s="48">
        <v>190.58</v>
      </c>
      <c r="G62" s="50">
        <v>64.930000000000007</v>
      </c>
      <c r="H62" s="48" t="s">
        <v>235</v>
      </c>
    </row>
    <row r="63" spans="1:8">
      <c r="A63" s="51" t="s">
        <v>165</v>
      </c>
      <c r="B63" s="47" t="s">
        <v>166</v>
      </c>
      <c r="C63" s="49">
        <v>1394296.23</v>
      </c>
      <c r="D63" s="48">
        <v>0.05</v>
      </c>
      <c r="E63" s="49">
        <v>-172555.4</v>
      </c>
      <c r="F63" s="48">
        <v>-11.01</v>
      </c>
      <c r="G63" s="50">
        <v>28.09</v>
      </c>
      <c r="H63" s="48" t="s">
        <v>235</v>
      </c>
    </row>
    <row r="64" spans="1:8">
      <c r="A64" s="51" t="s">
        <v>167</v>
      </c>
      <c r="B64" s="47" t="s">
        <v>168</v>
      </c>
      <c r="C64" s="49">
        <v>59741332.119999997</v>
      </c>
      <c r="D64" s="48">
        <v>1.93</v>
      </c>
      <c r="E64" s="49">
        <v>1168715.68</v>
      </c>
      <c r="F64" s="48">
        <v>2</v>
      </c>
      <c r="G64" s="50">
        <v>67.069999999999993</v>
      </c>
      <c r="H64" s="48" t="s">
        <v>235</v>
      </c>
    </row>
    <row r="65" spans="1:8">
      <c r="A65" s="51" t="s">
        <v>169</v>
      </c>
      <c r="B65" s="47" t="s">
        <v>170</v>
      </c>
      <c r="C65" s="49">
        <v>1342163.46</v>
      </c>
      <c r="D65" s="48">
        <v>0.04</v>
      </c>
      <c r="E65" s="49">
        <v>593559.18999999994</v>
      </c>
      <c r="F65" s="48">
        <v>79.290000000000006</v>
      </c>
      <c r="G65" s="50">
        <v>0.33</v>
      </c>
      <c r="H65" s="48" t="s">
        <v>235</v>
      </c>
    </row>
    <row r="66" spans="1:8">
      <c r="A66" s="51" t="s">
        <v>171</v>
      </c>
      <c r="B66" s="47" t="s">
        <v>172</v>
      </c>
      <c r="C66" s="49">
        <v>2547808.0099999998</v>
      </c>
      <c r="D66" s="48">
        <v>0.08</v>
      </c>
      <c r="E66" s="49">
        <v>-484807.13</v>
      </c>
      <c r="F66" s="48">
        <v>-15.99</v>
      </c>
      <c r="G66" s="50">
        <v>76.34</v>
      </c>
      <c r="H66" s="48" t="s">
        <v>235</v>
      </c>
    </row>
    <row r="67" spans="1:8">
      <c r="A67" s="51" t="s">
        <v>173</v>
      </c>
      <c r="B67" s="47" t="s">
        <v>174</v>
      </c>
      <c r="C67" s="49">
        <v>30452440.370000001</v>
      </c>
      <c r="D67" s="48">
        <v>0.98</v>
      </c>
      <c r="E67" s="49">
        <v>-4379159.42</v>
      </c>
      <c r="F67" s="48">
        <v>-12.57</v>
      </c>
      <c r="G67" s="50">
        <v>81.05</v>
      </c>
      <c r="H67" s="48" t="s">
        <v>235</v>
      </c>
    </row>
    <row r="68" spans="1:8">
      <c r="A68" s="51" t="s">
        <v>175</v>
      </c>
      <c r="B68" s="47" t="s">
        <v>176</v>
      </c>
      <c r="C68" s="49">
        <v>121693315.29000001</v>
      </c>
      <c r="D68" s="48">
        <v>3.94</v>
      </c>
      <c r="E68" s="49">
        <v>36425727.810000002</v>
      </c>
      <c r="F68" s="48">
        <v>42.72</v>
      </c>
      <c r="G68" s="50">
        <v>72.36</v>
      </c>
      <c r="H68" s="48" t="s">
        <v>235</v>
      </c>
    </row>
    <row r="69" spans="1:8">
      <c r="A69" s="51" t="s">
        <v>177</v>
      </c>
      <c r="B69" s="47" t="s">
        <v>178</v>
      </c>
      <c r="C69" s="49">
        <v>934026.78999999992</v>
      </c>
      <c r="D69" s="48">
        <v>0.03</v>
      </c>
      <c r="E69" s="49">
        <v>777800.76</v>
      </c>
      <c r="F69" s="48">
        <v>497.87</v>
      </c>
      <c r="G69" s="50">
        <v>94.53</v>
      </c>
      <c r="H69" s="48" t="s">
        <v>235</v>
      </c>
    </row>
    <row r="70" spans="1:8">
      <c r="A70" s="51" t="s">
        <v>179</v>
      </c>
      <c r="B70" s="47" t="s">
        <v>180</v>
      </c>
      <c r="C70" s="49">
        <v>375875.27</v>
      </c>
      <c r="D70" s="48">
        <v>0.01</v>
      </c>
      <c r="E70" s="49">
        <v>239683.07</v>
      </c>
      <c r="F70" s="48">
        <v>175.99</v>
      </c>
      <c r="G70" s="50">
        <v>7.55</v>
      </c>
      <c r="H70" s="48" t="s">
        <v>235</v>
      </c>
    </row>
    <row r="71" spans="1:8">
      <c r="A71" s="51" t="s">
        <v>181</v>
      </c>
      <c r="B71" s="47" t="s">
        <v>182</v>
      </c>
      <c r="C71" s="49">
        <v>808445.9</v>
      </c>
      <c r="D71" s="48">
        <v>0.03</v>
      </c>
      <c r="E71" s="49">
        <v>-12483767.16</v>
      </c>
      <c r="F71" s="48">
        <v>-93.92</v>
      </c>
      <c r="G71" s="50">
        <v>98.71</v>
      </c>
      <c r="H71" s="48" t="s">
        <v>235</v>
      </c>
    </row>
    <row r="72" spans="1:8">
      <c r="A72" s="51" t="s">
        <v>183</v>
      </c>
      <c r="B72" s="47" t="s">
        <v>184</v>
      </c>
      <c r="C72" s="49">
        <v>506315817.43000001</v>
      </c>
      <c r="D72" s="48">
        <v>16.37</v>
      </c>
      <c r="E72" s="49">
        <v>289847892.81</v>
      </c>
      <c r="F72" s="48">
        <v>133.9</v>
      </c>
      <c r="G72" s="50">
        <v>51.5</v>
      </c>
      <c r="H72" s="48" t="s">
        <v>235</v>
      </c>
    </row>
    <row r="73" spans="1:8">
      <c r="A73" s="51" t="s">
        <v>185</v>
      </c>
      <c r="B73" s="47" t="s">
        <v>186</v>
      </c>
      <c r="C73" s="49">
        <v>100210843</v>
      </c>
      <c r="D73" s="48">
        <v>3.24</v>
      </c>
      <c r="E73" s="49">
        <v>94199909.060000002</v>
      </c>
      <c r="F73" s="48">
        <v>1567.14</v>
      </c>
      <c r="G73" s="50">
        <v>76.13</v>
      </c>
      <c r="H73" s="48" t="s">
        <v>235</v>
      </c>
    </row>
    <row r="74" spans="1:8">
      <c r="A74" s="51" t="s">
        <v>187</v>
      </c>
      <c r="B74" s="47" t="s">
        <v>188</v>
      </c>
      <c r="C74" s="49">
        <v>894170</v>
      </c>
      <c r="D74" s="48">
        <v>0.03</v>
      </c>
      <c r="E74" s="49">
        <v>794070</v>
      </c>
      <c r="F74" s="48">
        <v>793.28</v>
      </c>
      <c r="G74" s="50">
        <v>96.42</v>
      </c>
      <c r="H74" s="48" t="s">
        <v>235</v>
      </c>
    </row>
    <row r="75" spans="1:8">
      <c r="A75" s="51" t="s">
        <v>189</v>
      </c>
      <c r="B75" s="47" t="s">
        <v>190</v>
      </c>
      <c r="C75" s="49">
        <v>8100466.3399999999</v>
      </c>
      <c r="D75" s="48">
        <v>0.26</v>
      </c>
      <c r="E75" s="49">
        <v>5467747.0099999998</v>
      </c>
      <c r="F75" s="48">
        <v>207.68</v>
      </c>
      <c r="G75" s="50">
        <v>18.760000000000002</v>
      </c>
      <c r="H75" s="48" t="s">
        <v>235</v>
      </c>
    </row>
    <row r="76" spans="1:8">
      <c r="A76" s="51" t="s">
        <v>193</v>
      </c>
      <c r="B76" s="47" t="s">
        <v>194</v>
      </c>
      <c r="C76" s="49">
        <v>108571822.64</v>
      </c>
      <c r="D76" s="48">
        <v>3.51</v>
      </c>
      <c r="E76" s="49">
        <v>107211815.5</v>
      </c>
      <c r="F76" s="48">
        <v>7883.18</v>
      </c>
      <c r="G76" s="50">
        <v>99.93</v>
      </c>
      <c r="H76" s="48" t="s">
        <v>235</v>
      </c>
    </row>
    <row r="77" spans="1:8">
      <c r="A77" s="51" t="s">
        <v>195</v>
      </c>
      <c r="B77" s="47" t="s">
        <v>196</v>
      </c>
      <c r="C77" s="49">
        <v>544031.25</v>
      </c>
      <c r="D77" s="48">
        <v>0.02</v>
      </c>
      <c r="E77" s="49">
        <v>-5133108.07</v>
      </c>
      <c r="F77" s="48">
        <v>-90.42</v>
      </c>
      <c r="G77" s="50">
        <v>87.22</v>
      </c>
      <c r="H77" s="48" t="s">
        <v>235</v>
      </c>
    </row>
    <row r="78" spans="1:8">
      <c r="A78" s="51" t="s">
        <v>197</v>
      </c>
      <c r="B78" s="47" t="s">
        <v>198</v>
      </c>
      <c r="C78" s="49">
        <v>56658471.739999987</v>
      </c>
      <c r="D78" s="48">
        <v>1.83</v>
      </c>
      <c r="E78" s="49">
        <v>-83190593.969999999</v>
      </c>
      <c r="F78" s="48">
        <v>-59.49</v>
      </c>
      <c r="G78" s="50">
        <v>60.28</v>
      </c>
      <c r="H78" s="48" t="s">
        <v>235</v>
      </c>
    </row>
    <row r="79" spans="1:8">
      <c r="A79" s="51" t="s">
        <v>199</v>
      </c>
      <c r="B79" s="47" t="s">
        <v>200</v>
      </c>
      <c r="C79" s="49">
        <v>7648286.7599999998</v>
      </c>
      <c r="D79" s="48">
        <v>0.25</v>
      </c>
      <c r="E79" s="49">
        <v>7437409.4100000001</v>
      </c>
      <c r="F79" s="48">
        <v>3526.89</v>
      </c>
      <c r="G79" s="50">
        <v>94.85</v>
      </c>
      <c r="H79" s="48" t="s">
        <v>235</v>
      </c>
    </row>
    <row r="80" spans="1:8">
      <c r="A80" s="51" t="s">
        <v>201</v>
      </c>
      <c r="B80" s="47" t="s">
        <v>202</v>
      </c>
      <c r="C80" s="49">
        <v>20558125.989999998</v>
      </c>
      <c r="D80" s="48">
        <v>0.66</v>
      </c>
      <c r="E80" s="49">
        <v>11094984.57</v>
      </c>
      <c r="F80" s="48">
        <v>117.24</v>
      </c>
      <c r="G80" s="50">
        <v>36.68</v>
      </c>
      <c r="H80" s="48" t="s">
        <v>235</v>
      </c>
    </row>
    <row r="81" spans="1:8">
      <c r="A81" s="51" t="s">
        <v>203</v>
      </c>
      <c r="B81" s="47" t="s">
        <v>204</v>
      </c>
      <c r="C81" s="49">
        <v>1004909.22</v>
      </c>
      <c r="D81" s="48">
        <v>0.03</v>
      </c>
      <c r="E81" s="49">
        <v>514984.25</v>
      </c>
      <c r="F81" s="48">
        <v>105.11</v>
      </c>
      <c r="G81" s="50">
        <v>84.2</v>
      </c>
      <c r="H81" s="48" t="s">
        <v>235</v>
      </c>
    </row>
    <row r="82" spans="1:8">
      <c r="A82" s="51" t="s">
        <v>205</v>
      </c>
      <c r="B82" s="47" t="s">
        <v>206</v>
      </c>
      <c r="C82" s="49">
        <v>367246925.51999998</v>
      </c>
      <c r="D82" s="48">
        <v>11.88</v>
      </c>
      <c r="E82" s="49">
        <v>-16251022.609999999</v>
      </c>
      <c r="F82" s="48">
        <v>-4.24</v>
      </c>
      <c r="G82" s="50">
        <v>60.42</v>
      </c>
      <c r="H82" s="48" t="s">
        <v>235</v>
      </c>
    </row>
    <row r="83" spans="1:8">
      <c r="A83" s="51" t="s">
        <v>207</v>
      </c>
      <c r="B83" s="47" t="s">
        <v>208</v>
      </c>
      <c r="C83" s="49">
        <v>47127334.789999999</v>
      </c>
      <c r="D83" s="48">
        <v>1.52</v>
      </c>
      <c r="E83" s="49">
        <v>22860473.239999998</v>
      </c>
      <c r="F83" s="48">
        <v>94.2</v>
      </c>
      <c r="G83" s="50">
        <v>82.84</v>
      </c>
      <c r="H83" s="48" t="s">
        <v>235</v>
      </c>
    </row>
    <row r="84" spans="1:8">
      <c r="A84" s="51" t="s">
        <v>209</v>
      </c>
      <c r="B84" s="47" t="s">
        <v>210</v>
      </c>
      <c r="C84" s="49">
        <v>15966652.689999999</v>
      </c>
      <c r="D84" s="48">
        <v>0.52</v>
      </c>
      <c r="E84" s="49">
        <v>7235207.1600000001</v>
      </c>
      <c r="F84" s="48">
        <v>82.86</v>
      </c>
      <c r="G84" s="50">
        <v>59.43</v>
      </c>
      <c r="H84" s="48" t="s">
        <v>235</v>
      </c>
    </row>
    <row r="85" spans="1:8">
      <c r="A85" s="51" t="s">
        <v>211</v>
      </c>
      <c r="B85" s="47" t="s">
        <v>212</v>
      </c>
      <c r="C85" s="49">
        <v>16400947.99</v>
      </c>
      <c r="D85" s="48">
        <v>0.53</v>
      </c>
      <c r="E85" s="49">
        <v>12293703.07</v>
      </c>
      <c r="F85" s="48">
        <v>299.32</v>
      </c>
      <c r="G85" s="50">
        <v>10.48</v>
      </c>
      <c r="H85" s="48" t="s">
        <v>235</v>
      </c>
    </row>
  </sheetData>
  <autoFilter ref="A1:G85" xr:uid="{7CDD608D-0522-4BEA-94D6-4821CEF877CC}">
    <sortState xmlns:xlrd2="http://schemas.microsoft.com/office/spreadsheetml/2017/richdata2" ref="A2:G85">
      <sortCondition ref="A1:A85"/>
    </sortState>
  </autoFilter>
  <phoneticPr fontId="1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FB43-DF3D-48A2-A454-B6AC0BAC09B8}">
  <dimension ref="A1:K86"/>
  <sheetViews>
    <sheetView workbookViewId="0">
      <selection activeCell="A2" sqref="A2:A84"/>
    </sheetView>
  </sheetViews>
  <sheetFormatPr defaultColWidth="8.7109375" defaultRowHeight="14.45"/>
  <cols>
    <col min="1" max="1" width="12.85546875" style="11" bestFit="1" customWidth="1"/>
    <col min="2" max="2" width="42.85546875" style="11" customWidth="1"/>
    <col min="3" max="4" width="21.85546875" style="11" customWidth="1"/>
    <col min="5" max="6" width="13.140625" style="11" bestFit="1" customWidth="1"/>
    <col min="7" max="7" width="8.7109375" style="11"/>
    <col min="8" max="8" width="12.85546875" style="11" bestFit="1" customWidth="1"/>
    <col min="9" max="9" width="36.85546875" style="11" customWidth="1"/>
    <col min="10" max="10" width="21.5703125" style="11" customWidth="1"/>
    <col min="11" max="11" width="32.85546875" style="11" customWidth="1"/>
    <col min="12" max="16384" width="8.7109375" style="11"/>
  </cols>
  <sheetData>
    <row r="1" spans="1:11">
      <c r="A1" s="24" t="s">
        <v>227</v>
      </c>
      <c r="B1" s="24" t="s">
        <v>228</v>
      </c>
      <c r="C1" s="24" t="s">
        <v>236</v>
      </c>
      <c r="D1" s="24" t="s">
        <v>235</v>
      </c>
      <c r="E1" s="24" t="s">
        <v>237</v>
      </c>
      <c r="F1" s="24" t="s">
        <v>238</v>
      </c>
      <c r="H1" s="24" t="s">
        <v>227</v>
      </c>
      <c r="I1" s="24" t="s">
        <v>228</v>
      </c>
      <c r="J1" s="24" t="s">
        <v>235</v>
      </c>
      <c r="K1" s="24" t="s">
        <v>238</v>
      </c>
    </row>
    <row r="2" spans="1:11">
      <c r="A2" s="19" t="s">
        <v>47</v>
      </c>
      <c r="B2" s="11" t="s">
        <v>48</v>
      </c>
      <c r="C2" s="30">
        <v>393982.36</v>
      </c>
      <c r="D2" s="30">
        <v>409363.06</v>
      </c>
      <c r="E2" s="29">
        <v>0.02</v>
      </c>
      <c r="F2" s="29">
        <v>0.01</v>
      </c>
      <c r="H2" s="28"/>
      <c r="I2" s="11" t="s">
        <v>239</v>
      </c>
      <c r="K2" s="29">
        <f>100-K14</f>
        <v>20.47999999999999</v>
      </c>
    </row>
    <row r="3" spans="1:11">
      <c r="A3" s="20" t="s">
        <v>49</v>
      </c>
      <c r="B3" s="11" t="s">
        <v>50</v>
      </c>
      <c r="C3" s="30">
        <v>0</v>
      </c>
      <c r="D3" s="30">
        <v>49500</v>
      </c>
      <c r="E3" s="29">
        <v>0</v>
      </c>
      <c r="F3" s="29">
        <v>0</v>
      </c>
      <c r="H3" s="17" t="s">
        <v>240</v>
      </c>
      <c r="I3" s="11" t="s">
        <v>241</v>
      </c>
      <c r="J3" s="30">
        <v>59741332.119999997</v>
      </c>
      <c r="K3" s="29">
        <v>1.93</v>
      </c>
    </row>
    <row r="4" spans="1:11">
      <c r="A4" s="19" t="s">
        <v>51</v>
      </c>
      <c r="B4" s="11" t="s">
        <v>52</v>
      </c>
      <c r="C4" s="30">
        <v>0</v>
      </c>
      <c r="D4" s="30">
        <v>242000</v>
      </c>
      <c r="E4" s="29">
        <v>0</v>
      </c>
      <c r="F4" s="29">
        <v>0.01</v>
      </c>
      <c r="H4" s="17" t="s">
        <v>242</v>
      </c>
      <c r="I4" s="11" t="s">
        <v>243</v>
      </c>
      <c r="J4" s="30">
        <v>65230981.450000003</v>
      </c>
      <c r="K4" s="29">
        <v>2.11</v>
      </c>
    </row>
    <row r="5" spans="1:11">
      <c r="A5" s="20" t="s">
        <v>53</v>
      </c>
      <c r="B5" s="11" t="s">
        <v>54</v>
      </c>
      <c r="C5" s="30">
        <v>2285301.92</v>
      </c>
      <c r="D5" s="30">
        <v>2314737.2000000002</v>
      </c>
      <c r="E5" s="29">
        <v>0.1</v>
      </c>
      <c r="F5" s="29">
        <v>7.0000000000000007E-2</v>
      </c>
      <c r="H5" s="17" t="s">
        <v>244</v>
      </c>
      <c r="I5" s="11" t="s">
        <v>245</v>
      </c>
      <c r="J5" s="30">
        <v>77553396.230000004</v>
      </c>
      <c r="K5" s="29">
        <v>2.5099999999999998</v>
      </c>
    </row>
    <row r="6" spans="1:11">
      <c r="A6" s="19" t="s">
        <v>55</v>
      </c>
      <c r="B6" s="11" t="s">
        <v>56</v>
      </c>
      <c r="C6" s="30">
        <v>1561919.04</v>
      </c>
      <c r="D6" s="30">
        <v>1555329.24</v>
      </c>
      <c r="E6" s="29">
        <v>7.0000000000000007E-2</v>
      </c>
      <c r="F6" s="29">
        <v>0.05</v>
      </c>
      <c r="H6" s="17" t="s">
        <v>246</v>
      </c>
      <c r="I6" s="11" t="s">
        <v>247</v>
      </c>
      <c r="J6" s="30">
        <v>100210843</v>
      </c>
      <c r="K6" s="29">
        <v>3.24</v>
      </c>
    </row>
    <row r="7" spans="1:11">
      <c r="A7" s="20" t="s">
        <v>57</v>
      </c>
      <c r="B7" s="11" t="s">
        <v>58</v>
      </c>
      <c r="C7" s="30">
        <v>102037.78</v>
      </c>
      <c r="D7" s="30">
        <v>97408.3</v>
      </c>
      <c r="E7" s="29">
        <v>0</v>
      </c>
      <c r="F7" s="29">
        <v>0</v>
      </c>
      <c r="H7" s="17" t="s">
        <v>248</v>
      </c>
      <c r="I7" s="11" t="s">
        <v>249</v>
      </c>
      <c r="J7" s="30">
        <v>108571822.64</v>
      </c>
      <c r="K7" s="29">
        <v>3.51</v>
      </c>
    </row>
    <row r="8" spans="1:11">
      <c r="A8" s="19" t="s">
        <v>59</v>
      </c>
      <c r="B8" s="11" t="s">
        <v>60</v>
      </c>
      <c r="C8" s="30">
        <v>1879564.12</v>
      </c>
      <c r="D8" s="30">
        <v>2251589.4300000002</v>
      </c>
      <c r="E8" s="29">
        <v>0.08</v>
      </c>
      <c r="F8" s="29">
        <v>7.0000000000000007E-2</v>
      </c>
      <c r="H8" s="17" t="s">
        <v>250</v>
      </c>
      <c r="I8" s="11" t="s">
        <v>251</v>
      </c>
      <c r="J8" s="30">
        <v>121693315.29000001</v>
      </c>
      <c r="K8" s="29">
        <v>3.94</v>
      </c>
    </row>
    <row r="9" spans="1:11">
      <c r="A9" s="20" t="s">
        <v>61</v>
      </c>
      <c r="B9" s="11" t="s">
        <v>62</v>
      </c>
      <c r="C9" s="30">
        <v>14576644.109999999</v>
      </c>
      <c r="D9" s="30">
        <v>44621709.799999997</v>
      </c>
      <c r="E9" s="29">
        <v>0.65</v>
      </c>
      <c r="F9" s="29">
        <v>1.44</v>
      </c>
      <c r="H9" s="17" t="s">
        <v>252</v>
      </c>
      <c r="I9" s="11" t="s">
        <v>253</v>
      </c>
      <c r="J9" s="30">
        <v>166216466.69</v>
      </c>
      <c r="K9" s="29">
        <v>5.38</v>
      </c>
    </row>
    <row r="10" spans="1:11">
      <c r="A10" s="19" t="s">
        <v>63</v>
      </c>
      <c r="B10" s="11" t="s">
        <v>64</v>
      </c>
      <c r="C10" s="30">
        <v>817296.53</v>
      </c>
      <c r="D10" s="30">
        <v>596417.69999999995</v>
      </c>
      <c r="E10" s="29">
        <v>0.04</v>
      </c>
      <c r="F10" s="29">
        <v>0.02</v>
      </c>
      <c r="H10" s="17" t="s">
        <v>254</v>
      </c>
      <c r="I10" s="11" t="s">
        <v>255</v>
      </c>
      <c r="J10" s="30">
        <v>367246925.51999998</v>
      </c>
      <c r="K10" s="29">
        <v>11.88</v>
      </c>
    </row>
    <row r="11" spans="1:11">
      <c r="A11" s="20" t="s">
        <v>65</v>
      </c>
      <c r="B11" s="11" t="s">
        <v>66</v>
      </c>
      <c r="C11" s="30">
        <v>12584787.050000001</v>
      </c>
      <c r="D11" s="30">
        <v>17578312.59</v>
      </c>
      <c r="E11" s="29">
        <v>0.56000000000000005</v>
      </c>
      <c r="F11" s="29">
        <v>0.56999999999999995</v>
      </c>
      <c r="H11" s="17" t="s">
        <v>256</v>
      </c>
      <c r="I11" s="11" t="s">
        <v>257</v>
      </c>
      <c r="J11" s="30">
        <v>506315817.43000001</v>
      </c>
      <c r="K11" s="29">
        <v>16.37</v>
      </c>
    </row>
    <row r="12" spans="1:11">
      <c r="A12" s="19" t="s">
        <v>67</v>
      </c>
      <c r="B12" s="11" t="s">
        <v>68</v>
      </c>
      <c r="C12" s="30">
        <v>851.92000000000007</v>
      </c>
      <c r="D12" s="30">
        <v>421.2</v>
      </c>
      <c r="E12" s="29">
        <v>0</v>
      </c>
      <c r="F12" s="29">
        <v>0</v>
      </c>
      <c r="H12" s="17" t="s">
        <v>258</v>
      </c>
      <c r="I12" s="11" t="s">
        <v>259</v>
      </c>
      <c r="J12" s="30">
        <v>886075138.93000007</v>
      </c>
      <c r="K12" s="29">
        <v>28.65</v>
      </c>
    </row>
    <row r="13" spans="1:11">
      <c r="A13" s="20" t="s">
        <v>69</v>
      </c>
      <c r="B13" s="11" t="s">
        <v>70</v>
      </c>
      <c r="C13" s="30">
        <v>7012133.8399999999</v>
      </c>
      <c r="D13" s="30">
        <v>8187866.4699999997</v>
      </c>
      <c r="E13" s="29">
        <v>0.31</v>
      </c>
      <c r="F13" s="29">
        <v>0.26</v>
      </c>
    </row>
    <row r="14" spans="1:11">
      <c r="A14" s="19" t="s">
        <v>71</v>
      </c>
      <c r="B14" s="11" t="s">
        <v>72</v>
      </c>
      <c r="C14" s="30">
        <v>211572.48000000001</v>
      </c>
      <c r="D14" s="30">
        <v>23622.54</v>
      </c>
      <c r="E14" s="29">
        <v>0.01</v>
      </c>
      <c r="F14" s="29">
        <v>0</v>
      </c>
      <c r="I14" s="31" t="s">
        <v>260</v>
      </c>
      <c r="J14" s="32">
        <f>SUM(J3:J12)</f>
        <v>2458856039.3000002</v>
      </c>
      <c r="K14" s="33">
        <f>SUM(K3:K12)</f>
        <v>79.52000000000001</v>
      </c>
    </row>
    <row r="15" spans="1:11">
      <c r="A15" s="20" t="s">
        <v>73</v>
      </c>
      <c r="B15" s="11" t="s">
        <v>74</v>
      </c>
      <c r="C15" s="30">
        <v>868416.16</v>
      </c>
      <c r="D15" s="30">
        <v>529450.56999999995</v>
      </c>
      <c r="E15" s="29">
        <v>0.04</v>
      </c>
      <c r="F15" s="29">
        <v>0.02</v>
      </c>
    </row>
    <row r="16" spans="1:11">
      <c r="A16" s="19" t="s">
        <v>75</v>
      </c>
      <c r="B16" s="11" t="s">
        <v>76</v>
      </c>
      <c r="C16" s="30">
        <v>6257390.6699999999</v>
      </c>
      <c r="D16" s="30">
        <v>11890405.279999999</v>
      </c>
      <c r="E16" s="29">
        <v>0.28000000000000003</v>
      </c>
      <c r="F16" s="29">
        <v>0.38</v>
      </c>
      <c r="H16" s="24" t="s">
        <v>227</v>
      </c>
      <c r="I16" s="24" t="s">
        <v>228</v>
      </c>
      <c r="J16" s="24">
        <v>2023</v>
      </c>
      <c r="K16" s="24" t="s">
        <v>237</v>
      </c>
    </row>
    <row r="17" spans="1:11">
      <c r="A17" s="20" t="s">
        <v>77</v>
      </c>
      <c r="B17" s="11" t="s">
        <v>78</v>
      </c>
      <c r="C17" s="30">
        <v>54537038.020000003</v>
      </c>
      <c r="D17" s="30">
        <v>65230981.450000003</v>
      </c>
      <c r="E17" s="29">
        <v>2.42</v>
      </c>
      <c r="F17" s="29">
        <v>2.11</v>
      </c>
      <c r="H17" s="28"/>
      <c r="I17" s="11" t="s">
        <v>239</v>
      </c>
      <c r="K17" s="29">
        <f>100-K27</f>
        <v>20.420000000000002</v>
      </c>
    </row>
    <row r="18" spans="1:11">
      <c r="A18" s="19" t="s">
        <v>79</v>
      </c>
      <c r="B18" s="11" t="s">
        <v>78</v>
      </c>
      <c r="C18" s="30">
        <v>26212385.329999998</v>
      </c>
      <c r="D18" s="30">
        <v>33572508.939999998</v>
      </c>
      <c r="E18" s="29">
        <v>1.1599999999999999</v>
      </c>
      <c r="F18" s="29">
        <v>1.0900000000000001</v>
      </c>
      <c r="H18" s="17" t="s">
        <v>240</v>
      </c>
      <c r="I18" s="11" t="s">
        <v>241</v>
      </c>
      <c r="J18" s="30">
        <v>58572616.439999998</v>
      </c>
      <c r="K18" s="29">
        <v>2.6</v>
      </c>
    </row>
    <row r="19" spans="1:11">
      <c r="A19" s="20" t="s">
        <v>81</v>
      </c>
      <c r="B19" s="11" t="s">
        <v>80</v>
      </c>
      <c r="C19" s="30">
        <v>671419.35</v>
      </c>
      <c r="D19" s="30">
        <v>47212.26</v>
      </c>
      <c r="E19" s="29">
        <v>0.03</v>
      </c>
      <c r="F19" s="29">
        <v>0</v>
      </c>
      <c r="H19" s="17" t="s">
        <v>244</v>
      </c>
      <c r="I19" s="11" t="s">
        <v>245</v>
      </c>
      <c r="J19" s="30">
        <v>62672494.969999999</v>
      </c>
      <c r="K19" s="29">
        <v>2.78</v>
      </c>
    </row>
    <row r="20" spans="1:11">
      <c r="A20" s="19" t="s">
        <v>83</v>
      </c>
      <c r="B20" s="11" t="s">
        <v>82</v>
      </c>
      <c r="C20" s="30">
        <v>337704.95</v>
      </c>
      <c r="D20" s="30">
        <v>718210.54</v>
      </c>
      <c r="E20" s="29">
        <v>0.01</v>
      </c>
      <c r="F20" s="29">
        <v>0.02</v>
      </c>
      <c r="H20" s="17" t="s">
        <v>250</v>
      </c>
      <c r="I20" s="11" t="s">
        <v>251</v>
      </c>
      <c r="J20" s="30">
        <v>85267587.480000004</v>
      </c>
      <c r="K20" s="29">
        <v>3.79</v>
      </c>
    </row>
    <row r="21" spans="1:11">
      <c r="A21" s="20" t="s">
        <v>85</v>
      </c>
      <c r="B21" s="11" t="s">
        <v>84</v>
      </c>
      <c r="C21" s="30">
        <v>1865335.17</v>
      </c>
      <c r="D21" s="30">
        <v>1083679.45</v>
      </c>
      <c r="E21" s="29">
        <v>0.08</v>
      </c>
      <c r="F21" s="29">
        <v>0.04</v>
      </c>
      <c r="H21" s="17" t="s">
        <v>252</v>
      </c>
      <c r="I21" s="11" t="s">
        <v>253</v>
      </c>
      <c r="J21" s="30">
        <v>124715686.59999999</v>
      </c>
      <c r="K21" s="29">
        <v>5.54</v>
      </c>
    </row>
    <row r="22" spans="1:11">
      <c r="A22" s="19" t="s">
        <v>87</v>
      </c>
      <c r="B22" s="11" t="s">
        <v>86</v>
      </c>
      <c r="C22" s="30">
        <v>359334.66</v>
      </c>
      <c r="D22" s="30">
        <v>243922.46</v>
      </c>
      <c r="E22" s="29">
        <v>0.02</v>
      </c>
      <c r="F22" s="29">
        <v>0.01</v>
      </c>
      <c r="H22" s="17" t="s">
        <v>261</v>
      </c>
      <c r="I22" s="11" t="s">
        <v>262</v>
      </c>
      <c r="J22" s="30">
        <v>133102759.63</v>
      </c>
      <c r="K22" s="29">
        <v>5.91</v>
      </c>
    </row>
    <row r="23" spans="1:11">
      <c r="A23" s="20" t="s">
        <v>89</v>
      </c>
      <c r="B23" s="11" t="s">
        <v>88</v>
      </c>
      <c r="C23" s="30">
        <v>1295271.8899999999</v>
      </c>
      <c r="D23" s="30">
        <v>1021084.09</v>
      </c>
      <c r="E23" s="29">
        <v>0.06</v>
      </c>
      <c r="F23" s="29">
        <v>0.03</v>
      </c>
      <c r="H23" s="17" t="s">
        <v>263</v>
      </c>
      <c r="I23" s="11" t="s">
        <v>264</v>
      </c>
      <c r="J23" s="30">
        <v>139849065.71000001</v>
      </c>
      <c r="K23" s="29">
        <v>6.21</v>
      </c>
    </row>
    <row r="24" spans="1:11">
      <c r="A24" s="19" t="s">
        <v>91</v>
      </c>
      <c r="B24" s="11" t="s">
        <v>90</v>
      </c>
      <c r="C24" s="30">
        <v>9200395.6699999999</v>
      </c>
      <c r="D24" s="30">
        <v>9123023.9499999993</v>
      </c>
      <c r="E24" s="29">
        <v>0.41</v>
      </c>
      <c r="F24" s="29">
        <v>0.3</v>
      </c>
      <c r="H24" s="17" t="s">
        <v>256</v>
      </c>
      <c r="I24" s="11" t="s">
        <v>257</v>
      </c>
      <c r="J24" s="30">
        <v>216467924.62</v>
      </c>
      <c r="K24" s="29">
        <v>9.61</v>
      </c>
    </row>
    <row r="25" spans="1:11">
      <c r="A25" s="20" t="s">
        <v>93</v>
      </c>
      <c r="B25" s="11" t="s">
        <v>92</v>
      </c>
      <c r="C25" s="30">
        <v>2334637.33</v>
      </c>
      <c r="D25" s="30">
        <v>2104914.69</v>
      </c>
      <c r="E25" s="29">
        <v>0.1</v>
      </c>
      <c r="F25" s="29">
        <v>7.0000000000000007E-2</v>
      </c>
      <c r="H25" s="17" t="s">
        <v>254</v>
      </c>
      <c r="I25" s="11" t="s">
        <v>265</v>
      </c>
      <c r="J25" s="30">
        <v>383497948.13</v>
      </c>
      <c r="K25" s="29">
        <v>17.03</v>
      </c>
    </row>
    <row r="26" spans="1:11">
      <c r="A26" s="19" t="s">
        <v>95</v>
      </c>
      <c r="B26" s="11" t="s">
        <v>94</v>
      </c>
      <c r="C26" s="30">
        <v>24478971.079999998</v>
      </c>
      <c r="D26" s="30">
        <v>20660760.16</v>
      </c>
      <c r="E26" s="29">
        <v>1.0900000000000001</v>
      </c>
      <c r="F26" s="29">
        <v>0.67</v>
      </c>
      <c r="H26" s="17" t="s">
        <v>258</v>
      </c>
      <c r="I26" s="11" t="s">
        <v>259</v>
      </c>
      <c r="J26" s="30">
        <v>588022974.28999996</v>
      </c>
      <c r="K26" s="29">
        <v>26.11</v>
      </c>
    </row>
    <row r="27" spans="1:11">
      <c r="A27" s="20" t="s">
        <v>97</v>
      </c>
      <c r="B27" s="11" t="s">
        <v>96</v>
      </c>
      <c r="C27" s="30">
        <v>6203969.0499999998</v>
      </c>
      <c r="D27" s="30">
        <v>5055711.34</v>
      </c>
      <c r="E27" s="29">
        <v>0.28000000000000003</v>
      </c>
      <c r="F27" s="29">
        <v>0.16</v>
      </c>
      <c r="I27" s="31" t="s">
        <v>260</v>
      </c>
      <c r="J27" s="26">
        <f>SUM(J18:J26)</f>
        <v>1792169057.8699999</v>
      </c>
      <c r="K27" s="27">
        <f>SUM(K18:K26)</f>
        <v>79.58</v>
      </c>
    </row>
    <row r="28" spans="1:11">
      <c r="A28" s="19" t="s">
        <v>99</v>
      </c>
      <c r="B28" s="11" t="s">
        <v>98</v>
      </c>
      <c r="C28" s="30">
        <v>0</v>
      </c>
      <c r="D28" s="30">
        <v>58016.65</v>
      </c>
      <c r="E28" s="29">
        <v>0</v>
      </c>
      <c r="F28" s="29">
        <v>0</v>
      </c>
    </row>
    <row r="29" spans="1:11">
      <c r="A29" s="20" t="s">
        <v>101</v>
      </c>
      <c r="B29" s="11" t="s">
        <v>100</v>
      </c>
      <c r="C29" s="30">
        <v>5984806.6299999999</v>
      </c>
      <c r="D29" s="30">
        <v>4020034.71</v>
      </c>
      <c r="E29" s="29">
        <v>0.27</v>
      </c>
      <c r="F29" s="29">
        <v>0.13</v>
      </c>
    </row>
    <row r="30" spans="1:11">
      <c r="A30" s="19" t="s">
        <v>103</v>
      </c>
      <c r="B30" s="11" t="s">
        <v>102</v>
      </c>
      <c r="C30" s="30">
        <v>1527313.04</v>
      </c>
      <c r="D30" s="30">
        <v>1678492.27</v>
      </c>
      <c r="E30" s="29">
        <v>7.0000000000000007E-2</v>
      </c>
      <c r="F30" s="29">
        <v>0.05</v>
      </c>
    </row>
    <row r="31" spans="1:11">
      <c r="A31" s="20" t="s">
        <v>105</v>
      </c>
      <c r="B31" s="11" t="s">
        <v>104</v>
      </c>
      <c r="C31" s="30">
        <v>2831471.17</v>
      </c>
      <c r="D31" s="30">
        <v>1463796.43</v>
      </c>
      <c r="E31" s="29">
        <v>0.13</v>
      </c>
      <c r="F31" s="29">
        <v>0.05</v>
      </c>
    </row>
    <row r="32" spans="1:11">
      <c r="A32" s="19" t="s">
        <v>107</v>
      </c>
      <c r="B32" s="11" t="s">
        <v>106</v>
      </c>
      <c r="C32" s="30">
        <v>17918244.809999999</v>
      </c>
      <c r="D32" s="30">
        <v>12163365.51</v>
      </c>
      <c r="E32" s="29">
        <v>0.8</v>
      </c>
      <c r="F32" s="29">
        <v>0.39</v>
      </c>
    </row>
    <row r="33" spans="1:6">
      <c r="A33" s="20" t="s">
        <v>109</v>
      </c>
      <c r="B33" s="11" t="s">
        <v>108</v>
      </c>
      <c r="C33" s="30">
        <v>2960504.28</v>
      </c>
      <c r="D33" s="30">
        <v>1209169.7</v>
      </c>
      <c r="E33" s="29">
        <v>0.13</v>
      </c>
      <c r="F33" s="29">
        <v>0.04</v>
      </c>
    </row>
    <row r="34" spans="1:6">
      <c r="A34" s="19" t="s">
        <v>111</v>
      </c>
      <c r="B34" s="11" t="s">
        <v>110</v>
      </c>
      <c r="C34" s="30">
        <v>10888953.539999999</v>
      </c>
      <c r="D34" s="30">
        <v>7770695.4100000001</v>
      </c>
      <c r="E34" s="29">
        <v>0.48</v>
      </c>
      <c r="F34" s="29">
        <v>0.25</v>
      </c>
    </row>
    <row r="35" spans="1:6">
      <c r="A35" s="20" t="s">
        <v>113</v>
      </c>
      <c r="B35" s="11" t="s">
        <v>112</v>
      </c>
      <c r="C35" s="30">
        <v>62672494.969999999</v>
      </c>
      <c r="D35" s="30">
        <v>77553396.230000004</v>
      </c>
      <c r="E35" s="29">
        <v>2.78</v>
      </c>
      <c r="F35" s="29">
        <v>2.5099999999999998</v>
      </c>
    </row>
    <row r="36" spans="1:6">
      <c r="A36" s="19" t="s">
        <v>115</v>
      </c>
      <c r="B36" s="11" t="s">
        <v>114</v>
      </c>
      <c r="C36" s="30">
        <v>588022974.28999996</v>
      </c>
      <c r="D36" s="30">
        <v>886075138.93000007</v>
      </c>
      <c r="E36" s="29">
        <v>26.11</v>
      </c>
      <c r="F36" s="29">
        <v>28.65</v>
      </c>
    </row>
    <row r="37" spans="1:6">
      <c r="A37" s="20" t="s">
        <v>117</v>
      </c>
      <c r="B37" s="11" t="s">
        <v>116</v>
      </c>
      <c r="C37" s="30">
        <v>5232134.62</v>
      </c>
      <c r="D37" s="30">
        <v>5892364.5</v>
      </c>
      <c r="E37" s="29">
        <v>0.23</v>
      </c>
      <c r="F37" s="29">
        <v>0.19</v>
      </c>
    </row>
    <row r="38" spans="1:6">
      <c r="A38" s="19" t="s">
        <v>119</v>
      </c>
      <c r="B38" s="11" t="s">
        <v>118</v>
      </c>
      <c r="C38" s="30">
        <v>15065581.779999999</v>
      </c>
      <c r="D38" s="30">
        <v>31694552.649999999</v>
      </c>
      <c r="E38" s="29">
        <v>0.67</v>
      </c>
      <c r="F38" s="29">
        <v>1.02</v>
      </c>
    </row>
    <row r="39" spans="1:6">
      <c r="A39" s="20" t="s">
        <v>121</v>
      </c>
      <c r="B39" s="11" t="s">
        <v>120</v>
      </c>
      <c r="C39" s="30">
        <v>1642835.8</v>
      </c>
      <c r="D39" s="30">
        <v>943828.49</v>
      </c>
      <c r="E39" s="29">
        <v>7.0000000000000007E-2</v>
      </c>
      <c r="F39" s="29">
        <v>0.03</v>
      </c>
    </row>
    <row r="40" spans="1:6">
      <c r="A40" s="19" t="s">
        <v>123</v>
      </c>
      <c r="B40" s="11" t="s">
        <v>122</v>
      </c>
      <c r="C40" s="30">
        <v>13141254.560000001</v>
      </c>
      <c r="D40" s="30">
        <v>10912412.689999999</v>
      </c>
      <c r="E40" s="29">
        <v>0.57999999999999996</v>
      </c>
      <c r="F40" s="29">
        <v>0.35</v>
      </c>
    </row>
    <row r="41" spans="1:6">
      <c r="A41" s="20" t="s">
        <v>125</v>
      </c>
      <c r="B41" s="11" t="s">
        <v>124</v>
      </c>
      <c r="C41" s="30">
        <v>1425150.82</v>
      </c>
      <c r="D41" s="30">
        <v>811765.46</v>
      </c>
      <c r="E41" s="29">
        <v>0.06</v>
      </c>
      <c r="F41" s="29">
        <v>0.03</v>
      </c>
    </row>
    <row r="42" spans="1:6">
      <c r="A42" s="19" t="s">
        <v>127</v>
      </c>
      <c r="B42" s="11" t="s">
        <v>126</v>
      </c>
      <c r="C42" s="30">
        <v>3067914.57</v>
      </c>
      <c r="D42" s="30">
        <v>3819976.66</v>
      </c>
      <c r="E42" s="29">
        <v>0.14000000000000001</v>
      </c>
      <c r="F42" s="29">
        <v>0.12</v>
      </c>
    </row>
    <row r="43" spans="1:6">
      <c r="A43" s="20" t="s">
        <v>129</v>
      </c>
      <c r="B43" s="11" t="s">
        <v>128</v>
      </c>
      <c r="C43" s="30">
        <v>156901.16</v>
      </c>
      <c r="D43" s="30">
        <v>169689.18</v>
      </c>
      <c r="E43" s="29">
        <v>0.01</v>
      </c>
      <c r="F43" s="29">
        <v>0.01</v>
      </c>
    </row>
    <row r="44" spans="1:6">
      <c r="A44" s="19" t="s">
        <v>131</v>
      </c>
      <c r="B44" s="11" t="s">
        <v>130</v>
      </c>
      <c r="C44" s="30">
        <v>404005.3</v>
      </c>
      <c r="D44" s="30">
        <v>238602.53</v>
      </c>
      <c r="E44" s="29">
        <v>0.02</v>
      </c>
      <c r="F44" s="29">
        <v>0.01</v>
      </c>
    </row>
    <row r="45" spans="1:6">
      <c r="A45" s="20" t="s">
        <v>133</v>
      </c>
      <c r="B45" s="11" t="s">
        <v>132</v>
      </c>
      <c r="C45" s="30">
        <v>146632.17000000001</v>
      </c>
      <c r="D45" s="30">
        <v>244771.35</v>
      </c>
      <c r="E45" s="29">
        <v>0.01</v>
      </c>
      <c r="F45" s="29">
        <v>0.01</v>
      </c>
    </row>
    <row r="46" spans="1:6">
      <c r="A46" s="19" t="s">
        <v>135</v>
      </c>
      <c r="B46" s="11" t="s">
        <v>134</v>
      </c>
      <c r="C46" s="30">
        <v>882877.78999999992</v>
      </c>
      <c r="D46" s="30">
        <v>1961109.48</v>
      </c>
      <c r="E46" s="29">
        <v>0.04</v>
      </c>
      <c r="F46" s="29">
        <v>0.06</v>
      </c>
    </row>
    <row r="47" spans="1:6">
      <c r="A47" s="20" t="s">
        <v>137</v>
      </c>
      <c r="B47" s="11" t="s">
        <v>136</v>
      </c>
      <c r="C47" s="30">
        <v>1424566.8</v>
      </c>
      <c r="D47" s="30">
        <v>8698702.0899999999</v>
      </c>
      <c r="E47" s="29">
        <v>0.06</v>
      </c>
      <c r="F47" s="29">
        <v>0.28000000000000003</v>
      </c>
    </row>
    <row r="48" spans="1:6">
      <c r="A48" s="19" t="s">
        <v>139</v>
      </c>
      <c r="B48" s="11" t="s">
        <v>138</v>
      </c>
      <c r="C48" s="30">
        <v>1808805.81</v>
      </c>
      <c r="D48" s="30">
        <v>2829777.24</v>
      </c>
      <c r="E48" s="29">
        <v>0.08</v>
      </c>
      <c r="F48" s="29">
        <v>0.09</v>
      </c>
    </row>
    <row r="49" spans="1:6">
      <c r="A49" s="20" t="s">
        <v>141</v>
      </c>
      <c r="B49" s="11" t="s">
        <v>140</v>
      </c>
      <c r="C49" s="30">
        <v>27905760.43</v>
      </c>
      <c r="D49" s="30">
        <v>43604058.710000001</v>
      </c>
      <c r="E49" s="29">
        <v>1.24</v>
      </c>
      <c r="F49" s="29">
        <v>1.41</v>
      </c>
    </row>
    <row r="50" spans="1:6">
      <c r="A50" s="19" t="s">
        <v>143</v>
      </c>
      <c r="B50" s="11" t="s">
        <v>142</v>
      </c>
      <c r="C50" s="30">
        <v>6829119.5099999998</v>
      </c>
      <c r="D50" s="30">
        <v>12127014.130000001</v>
      </c>
      <c r="E50" s="29">
        <v>0.3</v>
      </c>
      <c r="F50" s="29">
        <v>0.39</v>
      </c>
    </row>
    <row r="51" spans="1:6">
      <c r="A51" s="20" t="s">
        <v>145</v>
      </c>
      <c r="B51" s="11" t="s">
        <v>144</v>
      </c>
      <c r="C51" s="30">
        <v>7459649.4500000002</v>
      </c>
      <c r="D51" s="30">
        <v>7573527.3700000001</v>
      </c>
      <c r="E51" s="29">
        <v>0.33</v>
      </c>
      <c r="F51" s="29">
        <v>0.24</v>
      </c>
    </row>
    <row r="52" spans="1:6">
      <c r="A52" s="19" t="s">
        <v>147</v>
      </c>
      <c r="B52" s="11" t="s">
        <v>146</v>
      </c>
      <c r="C52" s="30">
        <v>124715686.59999999</v>
      </c>
      <c r="D52" s="30">
        <v>166216466.69</v>
      </c>
      <c r="E52" s="29">
        <v>5.54</v>
      </c>
      <c r="F52" s="29">
        <v>5.38</v>
      </c>
    </row>
    <row r="53" spans="1:6">
      <c r="A53" s="20" t="s">
        <v>149</v>
      </c>
      <c r="B53" s="11" t="s">
        <v>148</v>
      </c>
      <c r="C53" s="30">
        <v>3033652.62</v>
      </c>
      <c r="D53" s="30">
        <v>7058865.4100000001</v>
      </c>
      <c r="E53" s="29">
        <v>0.13</v>
      </c>
      <c r="F53" s="29">
        <v>0.23</v>
      </c>
    </row>
    <row r="54" spans="1:6">
      <c r="A54" s="19" t="s">
        <v>151</v>
      </c>
      <c r="B54" s="11" t="s">
        <v>150</v>
      </c>
      <c r="C54" s="30">
        <v>9995329.7799999993</v>
      </c>
      <c r="D54" s="30">
        <v>3599622.88</v>
      </c>
      <c r="E54" s="29">
        <v>0.44</v>
      </c>
      <c r="F54" s="29">
        <v>0.12</v>
      </c>
    </row>
    <row r="55" spans="1:6">
      <c r="A55" s="20" t="s">
        <v>153</v>
      </c>
      <c r="B55" s="11" t="s">
        <v>152</v>
      </c>
      <c r="C55" s="30">
        <v>133102759.63</v>
      </c>
      <c r="D55" s="30">
        <v>42369184.630000003</v>
      </c>
      <c r="E55" s="29">
        <v>5.91</v>
      </c>
      <c r="F55" s="29">
        <v>1.37</v>
      </c>
    </row>
    <row r="56" spans="1:6">
      <c r="A56" s="19" t="s">
        <v>155</v>
      </c>
      <c r="B56" s="11" t="s">
        <v>154</v>
      </c>
      <c r="C56" s="30">
        <v>6425784.1800000006</v>
      </c>
      <c r="D56" s="30">
        <v>13459898.359999999</v>
      </c>
      <c r="E56" s="29">
        <v>0.28999999999999998</v>
      </c>
      <c r="F56" s="29">
        <v>0.44</v>
      </c>
    </row>
    <row r="57" spans="1:6">
      <c r="A57" s="20" t="s">
        <v>157</v>
      </c>
      <c r="B57" s="11" t="s">
        <v>156</v>
      </c>
      <c r="C57" s="30">
        <v>8080290.1699999999</v>
      </c>
      <c r="D57" s="30">
        <v>2344963.44</v>
      </c>
      <c r="E57" s="29">
        <v>0.36</v>
      </c>
      <c r="F57" s="29">
        <v>0.08</v>
      </c>
    </row>
    <row r="58" spans="1:6">
      <c r="A58" s="19" t="s">
        <v>159</v>
      </c>
      <c r="B58" s="11" t="s">
        <v>158</v>
      </c>
      <c r="C58" s="30">
        <v>0</v>
      </c>
      <c r="D58" s="30">
        <v>1093.6600000000001</v>
      </c>
      <c r="E58" s="29">
        <v>0</v>
      </c>
      <c r="F58" s="29">
        <v>0</v>
      </c>
    </row>
    <row r="59" spans="1:6">
      <c r="A59" s="20" t="s">
        <v>161</v>
      </c>
      <c r="B59" s="11" t="s">
        <v>160</v>
      </c>
      <c r="C59" s="30">
        <v>3841107.71</v>
      </c>
      <c r="D59" s="30">
        <v>3766643.89</v>
      </c>
      <c r="E59" s="29">
        <v>0.17</v>
      </c>
      <c r="F59" s="29">
        <v>0.12</v>
      </c>
    </row>
    <row r="60" spans="1:6">
      <c r="A60" s="19" t="s">
        <v>163</v>
      </c>
      <c r="B60" s="11" t="s">
        <v>162</v>
      </c>
      <c r="C60" s="30">
        <v>985103.86</v>
      </c>
      <c r="D60" s="30">
        <v>999605.98</v>
      </c>
      <c r="E60" s="29">
        <v>0.04</v>
      </c>
      <c r="F60" s="29">
        <v>0.03</v>
      </c>
    </row>
    <row r="61" spans="1:6">
      <c r="A61" s="20" t="s">
        <v>165</v>
      </c>
      <c r="B61" s="11" t="s">
        <v>164</v>
      </c>
      <c r="C61" s="30">
        <v>6276947.7000000002</v>
      </c>
      <c r="D61" s="30">
        <v>18239438.420000002</v>
      </c>
      <c r="E61" s="29">
        <v>0.28000000000000003</v>
      </c>
      <c r="F61" s="29">
        <v>0.59</v>
      </c>
    </row>
    <row r="62" spans="1:6">
      <c r="A62" s="19" t="s">
        <v>167</v>
      </c>
      <c r="B62" s="11" t="s">
        <v>166</v>
      </c>
      <c r="C62" s="30">
        <v>1566851.63</v>
      </c>
      <c r="D62" s="30">
        <v>1394296.23</v>
      </c>
      <c r="E62" s="29">
        <v>7.0000000000000007E-2</v>
      </c>
      <c r="F62" s="29">
        <v>0.05</v>
      </c>
    </row>
    <row r="63" spans="1:6">
      <c r="A63" s="20" t="s">
        <v>169</v>
      </c>
      <c r="B63" s="11" t="s">
        <v>168</v>
      </c>
      <c r="C63" s="30">
        <v>58572616.439999998</v>
      </c>
      <c r="D63" s="30">
        <v>59741332.119999997</v>
      </c>
      <c r="E63" s="29">
        <v>2.6</v>
      </c>
      <c r="F63" s="29">
        <v>1.93</v>
      </c>
    </row>
    <row r="64" spans="1:6">
      <c r="A64" s="19" t="s">
        <v>171</v>
      </c>
      <c r="B64" s="11" t="s">
        <v>170</v>
      </c>
      <c r="C64" s="30">
        <v>748604.27</v>
      </c>
      <c r="D64" s="30">
        <v>1342163.46</v>
      </c>
      <c r="E64" s="29">
        <v>0.03</v>
      </c>
      <c r="F64" s="29">
        <v>0.04</v>
      </c>
    </row>
    <row r="65" spans="1:6">
      <c r="A65" s="20" t="s">
        <v>173</v>
      </c>
      <c r="B65" s="11" t="s">
        <v>172</v>
      </c>
      <c r="C65" s="30">
        <v>3032615.14</v>
      </c>
      <c r="D65" s="30">
        <v>2547808.0099999998</v>
      </c>
      <c r="E65" s="29">
        <v>0.13</v>
      </c>
      <c r="F65" s="29">
        <v>0.08</v>
      </c>
    </row>
    <row r="66" spans="1:6">
      <c r="A66" s="19" t="s">
        <v>175</v>
      </c>
      <c r="B66" s="11" t="s">
        <v>174</v>
      </c>
      <c r="C66" s="30">
        <v>34831599.789999999</v>
      </c>
      <c r="D66" s="30">
        <v>30452440.370000001</v>
      </c>
      <c r="E66" s="29">
        <v>1.55</v>
      </c>
      <c r="F66" s="29">
        <v>0.98</v>
      </c>
    </row>
    <row r="67" spans="1:6">
      <c r="A67" s="20" t="s">
        <v>177</v>
      </c>
      <c r="B67" s="11" t="s">
        <v>176</v>
      </c>
      <c r="C67" s="30">
        <v>85267587.480000004</v>
      </c>
      <c r="D67" s="30">
        <v>121693315.29000001</v>
      </c>
      <c r="E67" s="29">
        <v>3.79</v>
      </c>
      <c r="F67" s="29">
        <v>3.94</v>
      </c>
    </row>
    <row r="68" spans="1:6">
      <c r="A68" s="19" t="s">
        <v>179</v>
      </c>
      <c r="B68" s="11" t="s">
        <v>178</v>
      </c>
      <c r="C68" s="30">
        <v>156226.03</v>
      </c>
      <c r="D68" s="30">
        <v>934026.78999999992</v>
      </c>
      <c r="E68" s="29">
        <v>0.01</v>
      </c>
      <c r="F68" s="29">
        <v>0.03</v>
      </c>
    </row>
    <row r="69" spans="1:6">
      <c r="A69" s="20" t="s">
        <v>181</v>
      </c>
      <c r="B69" s="11" t="s">
        <v>180</v>
      </c>
      <c r="C69" s="30">
        <v>136192.20000000001</v>
      </c>
      <c r="D69" s="30">
        <v>375875.27</v>
      </c>
      <c r="E69" s="29">
        <v>0.01</v>
      </c>
      <c r="F69" s="29">
        <v>0.01</v>
      </c>
    </row>
    <row r="70" spans="1:6">
      <c r="A70" s="19" t="s">
        <v>183</v>
      </c>
      <c r="B70" s="11" t="s">
        <v>182</v>
      </c>
      <c r="C70" s="30">
        <v>13292213.060000001</v>
      </c>
      <c r="D70" s="30">
        <v>808445.9</v>
      </c>
      <c r="E70" s="29">
        <v>0.59</v>
      </c>
      <c r="F70" s="29">
        <v>0.03</v>
      </c>
    </row>
    <row r="71" spans="1:6">
      <c r="A71" s="20" t="s">
        <v>185</v>
      </c>
      <c r="B71" s="11" t="s">
        <v>184</v>
      </c>
      <c r="C71" s="30">
        <v>216467924.62</v>
      </c>
      <c r="D71" s="30">
        <v>506315817.43000001</v>
      </c>
      <c r="E71" s="29">
        <v>9.61</v>
      </c>
      <c r="F71" s="29">
        <v>16.37</v>
      </c>
    </row>
    <row r="72" spans="1:6">
      <c r="A72" s="19" t="s">
        <v>187</v>
      </c>
      <c r="B72" s="11" t="s">
        <v>186</v>
      </c>
      <c r="C72" s="30">
        <v>6010933.9399999985</v>
      </c>
      <c r="D72" s="30">
        <v>100210843</v>
      </c>
      <c r="E72" s="29">
        <v>0.27</v>
      </c>
      <c r="F72" s="29">
        <v>3.24</v>
      </c>
    </row>
    <row r="73" spans="1:6">
      <c r="A73" s="20" t="s">
        <v>189</v>
      </c>
      <c r="B73" s="11" t="s">
        <v>188</v>
      </c>
      <c r="C73" s="30">
        <v>100100</v>
      </c>
      <c r="D73" s="30">
        <v>894170</v>
      </c>
      <c r="E73" s="29">
        <v>0</v>
      </c>
      <c r="F73" s="29">
        <v>0.03</v>
      </c>
    </row>
    <row r="74" spans="1:6">
      <c r="A74" s="19" t="s">
        <v>191</v>
      </c>
      <c r="B74" s="11" t="s">
        <v>190</v>
      </c>
      <c r="C74" s="30">
        <v>2632719.33</v>
      </c>
      <c r="D74" s="30">
        <v>8100466.3399999999</v>
      </c>
      <c r="E74" s="29">
        <v>0.12</v>
      </c>
      <c r="F74" s="29">
        <v>0.26</v>
      </c>
    </row>
    <row r="75" spans="1:6">
      <c r="A75" s="20" t="s">
        <v>193</v>
      </c>
      <c r="B75" s="11" t="s">
        <v>192</v>
      </c>
      <c r="C75" s="30">
        <v>80600</v>
      </c>
      <c r="D75" s="30">
        <v>5013861.3499999996</v>
      </c>
      <c r="E75" s="29">
        <v>0</v>
      </c>
      <c r="F75" s="29">
        <v>0.16</v>
      </c>
    </row>
    <row r="76" spans="1:6">
      <c r="A76" s="19" t="s">
        <v>195</v>
      </c>
      <c r="B76" s="11" t="s">
        <v>194</v>
      </c>
      <c r="C76" s="30">
        <v>1360007.14</v>
      </c>
      <c r="D76" s="30">
        <v>108571822.64</v>
      </c>
      <c r="E76" s="29">
        <v>0.06</v>
      </c>
      <c r="F76" s="29">
        <v>3.51</v>
      </c>
    </row>
    <row r="77" spans="1:6">
      <c r="A77" s="20" t="s">
        <v>197</v>
      </c>
      <c r="B77" s="11" t="s">
        <v>196</v>
      </c>
      <c r="C77" s="30">
        <v>5677139.3200000003</v>
      </c>
      <c r="D77" s="30">
        <v>544031.25</v>
      </c>
      <c r="E77" s="29">
        <v>0.25</v>
      </c>
      <c r="F77" s="29">
        <v>0.02</v>
      </c>
    </row>
    <row r="78" spans="1:6">
      <c r="A78" s="19" t="s">
        <v>199</v>
      </c>
      <c r="B78" s="11" t="s">
        <v>198</v>
      </c>
      <c r="C78" s="30">
        <v>139849065.71000001</v>
      </c>
      <c r="D78" s="30">
        <v>56658471.740000002</v>
      </c>
      <c r="E78" s="29">
        <v>6.21</v>
      </c>
      <c r="F78" s="29">
        <v>1.83</v>
      </c>
    </row>
    <row r="79" spans="1:6">
      <c r="A79" s="20" t="s">
        <v>201</v>
      </c>
      <c r="B79" s="11" t="s">
        <v>200</v>
      </c>
      <c r="C79" s="30">
        <v>210877.35</v>
      </c>
      <c r="D79" s="30">
        <v>7648286.7599999998</v>
      </c>
      <c r="E79" s="29">
        <v>0.01</v>
      </c>
      <c r="F79" s="29">
        <v>0.25</v>
      </c>
    </row>
    <row r="80" spans="1:6">
      <c r="A80" s="19" t="s">
        <v>203</v>
      </c>
      <c r="B80" s="11" t="s">
        <v>202</v>
      </c>
      <c r="C80" s="30">
        <v>9463141.4199999999</v>
      </c>
      <c r="D80" s="30">
        <v>20558125.989999998</v>
      </c>
      <c r="E80" s="29">
        <v>0.42</v>
      </c>
      <c r="F80" s="29">
        <v>0.66</v>
      </c>
    </row>
    <row r="81" spans="1:6">
      <c r="A81" s="20" t="s">
        <v>205</v>
      </c>
      <c r="B81" s="11" t="s">
        <v>204</v>
      </c>
      <c r="C81" s="30">
        <v>489924.97</v>
      </c>
      <c r="D81" s="30">
        <v>1004909.22</v>
      </c>
      <c r="E81" s="29">
        <v>0.02</v>
      </c>
      <c r="F81" s="29">
        <v>0.03</v>
      </c>
    </row>
    <row r="82" spans="1:6">
      <c r="A82" s="19" t="s">
        <v>207</v>
      </c>
      <c r="B82" s="11" t="s">
        <v>206</v>
      </c>
      <c r="C82" s="30">
        <v>383497948.13</v>
      </c>
      <c r="D82" s="30">
        <v>367246925.51999998</v>
      </c>
      <c r="E82" s="29">
        <v>17.03</v>
      </c>
      <c r="F82" s="29">
        <v>11.88</v>
      </c>
    </row>
    <row r="83" spans="1:6">
      <c r="A83" s="20" t="s">
        <v>209</v>
      </c>
      <c r="B83" s="11" t="s">
        <v>208</v>
      </c>
      <c r="C83" s="30">
        <v>24266861.550000001</v>
      </c>
      <c r="D83" s="30">
        <v>47127334.789999999</v>
      </c>
      <c r="E83" s="29">
        <v>1.08</v>
      </c>
      <c r="F83" s="29">
        <v>1.52</v>
      </c>
    </row>
    <row r="84" spans="1:6">
      <c r="A84" s="19" t="s">
        <v>211</v>
      </c>
      <c r="B84" s="11" t="s">
        <v>210</v>
      </c>
      <c r="C84" s="30">
        <v>8731445.5299999993</v>
      </c>
      <c r="D84" s="30">
        <v>15966652.689999999</v>
      </c>
      <c r="E84" s="29">
        <v>0.39</v>
      </c>
      <c r="F84" s="29">
        <v>0.52</v>
      </c>
    </row>
    <row r="85" spans="1:6">
      <c r="A85" s="12">
        <v>620</v>
      </c>
      <c r="B85" s="11" t="s">
        <v>212</v>
      </c>
      <c r="C85" s="30">
        <v>4107244.92</v>
      </c>
      <c r="D85" s="30">
        <v>16400947.99</v>
      </c>
      <c r="E85" s="29">
        <v>0.18</v>
      </c>
      <c r="F85" s="29">
        <v>0.53</v>
      </c>
    </row>
    <row r="86" spans="1:6">
      <c r="A86" s="25" t="s">
        <v>260</v>
      </c>
      <c r="B86" s="25"/>
      <c r="C86" s="26">
        <f>SUM(C87:C170)</f>
        <v>0</v>
      </c>
      <c r="D86" s="26">
        <f>SUM(D87:D170)</f>
        <v>0</v>
      </c>
      <c r="E86" s="27">
        <f>SUM(E87:E170)</f>
        <v>0</v>
      </c>
      <c r="F86" s="27">
        <f>SUM(F87:F170)</f>
        <v>0</v>
      </c>
    </row>
  </sheetData>
  <autoFilter ref="A1:F87" xr:uid="{00000000-0001-0000-0200-000000000000}">
    <sortState xmlns:xlrd2="http://schemas.microsoft.com/office/spreadsheetml/2017/richdata2" ref="A2:F87">
      <sortCondition ref="A1:A87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CC90-52D8-422D-8473-EC1678DB609E}">
  <dimension ref="A1:G84"/>
  <sheetViews>
    <sheetView workbookViewId="0">
      <selection activeCell="G2" sqref="G2"/>
    </sheetView>
  </sheetViews>
  <sheetFormatPr defaultRowHeight="14.45"/>
  <cols>
    <col min="1" max="1" width="12.85546875" bestFit="1" customWidth="1"/>
    <col min="2" max="2" width="62.85546875" customWidth="1"/>
    <col min="3" max="3" width="4.85546875" bestFit="1" customWidth="1"/>
    <col min="4" max="6" width="16" bestFit="1" customWidth="1"/>
    <col min="7" max="7" width="15.85546875" bestFit="1" customWidth="1"/>
  </cols>
  <sheetData>
    <row r="1" spans="1:7" s="11" customFormat="1">
      <c r="A1" s="24" t="s">
        <v>227</v>
      </c>
      <c r="B1" s="24" t="s">
        <v>228</v>
      </c>
      <c r="C1" s="24" t="s">
        <v>234</v>
      </c>
      <c r="D1" s="24" t="s">
        <v>266</v>
      </c>
      <c r="E1" s="24" t="s">
        <v>267</v>
      </c>
      <c r="F1" s="24" t="s">
        <v>260</v>
      </c>
      <c r="G1" s="24" t="s">
        <v>233</v>
      </c>
    </row>
    <row r="2" spans="1:7" s="11" customFormat="1">
      <c r="A2" s="21" t="s">
        <v>47</v>
      </c>
      <c r="B2" s="11" t="s">
        <v>48</v>
      </c>
      <c r="C2" s="17" t="s">
        <v>235</v>
      </c>
      <c r="D2" s="30">
        <v>0</v>
      </c>
      <c r="E2" s="30">
        <v>409363.06</v>
      </c>
      <c r="F2" s="30">
        <v>409363.06</v>
      </c>
      <c r="G2" s="29">
        <v>0</v>
      </c>
    </row>
    <row r="3" spans="1:7" s="11" customFormat="1">
      <c r="A3" s="22" t="s">
        <v>49</v>
      </c>
      <c r="B3" s="11" t="s">
        <v>50</v>
      </c>
      <c r="C3" s="17" t="s">
        <v>235</v>
      </c>
      <c r="D3" s="30">
        <v>0</v>
      </c>
      <c r="E3" s="30">
        <v>49500</v>
      </c>
      <c r="F3" s="30">
        <v>49500</v>
      </c>
      <c r="G3" s="29">
        <v>0</v>
      </c>
    </row>
    <row r="4" spans="1:7" s="11" customFormat="1">
      <c r="A4" s="21" t="s">
        <v>51</v>
      </c>
      <c r="B4" s="11" t="s">
        <v>52</v>
      </c>
      <c r="C4" s="17" t="s">
        <v>235</v>
      </c>
      <c r="D4" s="30">
        <v>242000</v>
      </c>
      <c r="E4" s="30">
        <v>0</v>
      </c>
      <c r="F4" s="30">
        <v>242000</v>
      </c>
      <c r="G4" s="29">
        <v>100</v>
      </c>
    </row>
    <row r="5" spans="1:7" s="11" customFormat="1">
      <c r="A5" s="22" t="s">
        <v>53</v>
      </c>
      <c r="B5" s="11" t="s">
        <v>54</v>
      </c>
      <c r="C5" s="17" t="s">
        <v>235</v>
      </c>
      <c r="D5" s="30">
        <v>0</v>
      </c>
      <c r="E5" s="30">
        <v>2314737.2000000002</v>
      </c>
      <c r="F5" s="30">
        <v>2314737.2000000002</v>
      </c>
      <c r="G5" s="29">
        <v>0</v>
      </c>
    </row>
    <row r="6" spans="1:7" s="11" customFormat="1">
      <c r="A6" s="21" t="s">
        <v>55</v>
      </c>
      <c r="B6" s="11" t="s">
        <v>56</v>
      </c>
      <c r="C6" s="17" t="s">
        <v>235</v>
      </c>
      <c r="D6" s="30">
        <v>0</v>
      </c>
      <c r="E6" s="30">
        <v>1555329.24</v>
      </c>
      <c r="F6" s="30">
        <v>1555329.24</v>
      </c>
      <c r="G6" s="29">
        <v>0</v>
      </c>
    </row>
    <row r="7" spans="1:7" s="11" customFormat="1">
      <c r="A7" s="22" t="s">
        <v>57</v>
      </c>
      <c r="B7" s="11" t="s">
        <v>58</v>
      </c>
      <c r="C7" s="17" t="s">
        <v>235</v>
      </c>
      <c r="D7" s="30">
        <v>0</v>
      </c>
      <c r="E7" s="30">
        <v>97408.3</v>
      </c>
      <c r="F7" s="30">
        <v>97408.3</v>
      </c>
      <c r="G7" s="29">
        <v>0</v>
      </c>
    </row>
    <row r="8" spans="1:7" s="11" customFormat="1">
      <c r="A8" s="21" t="s">
        <v>59</v>
      </c>
      <c r="B8" s="11" t="s">
        <v>60</v>
      </c>
      <c r="C8" s="17" t="s">
        <v>235</v>
      </c>
      <c r="D8" s="30">
        <v>9274.67</v>
      </c>
      <c r="E8" s="30">
        <v>2242314.7599999998</v>
      </c>
      <c r="F8" s="30">
        <v>2251589.4300000002</v>
      </c>
      <c r="G8" s="29">
        <v>0.41</v>
      </c>
    </row>
    <row r="9" spans="1:7" s="11" customFormat="1">
      <c r="A9" s="22" t="s">
        <v>61</v>
      </c>
      <c r="B9" s="11" t="s">
        <v>62</v>
      </c>
      <c r="C9" s="17" t="s">
        <v>235</v>
      </c>
      <c r="D9" s="30">
        <v>573691.99</v>
      </c>
      <c r="E9" s="30">
        <v>44048017.810000002</v>
      </c>
      <c r="F9" s="30">
        <v>44621709.799999997</v>
      </c>
      <c r="G9" s="29">
        <v>1.29</v>
      </c>
    </row>
    <row r="10" spans="1:7" s="11" customFormat="1">
      <c r="A10" s="21" t="s">
        <v>63</v>
      </c>
      <c r="B10" s="11" t="s">
        <v>64</v>
      </c>
      <c r="C10" s="17" t="s">
        <v>235</v>
      </c>
      <c r="D10" s="30">
        <v>0</v>
      </c>
      <c r="E10" s="30">
        <v>596417.69999999995</v>
      </c>
      <c r="F10" s="30">
        <v>596417.69999999995</v>
      </c>
      <c r="G10" s="29">
        <v>0</v>
      </c>
    </row>
    <row r="11" spans="1:7" s="11" customFormat="1">
      <c r="A11" s="22" t="s">
        <v>65</v>
      </c>
      <c r="B11" s="11" t="s">
        <v>66</v>
      </c>
      <c r="C11" s="17" t="s">
        <v>235</v>
      </c>
      <c r="D11" s="30">
        <v>8448880.8300000001</v>
      </c>
      <c r="E11" s="30">
        <v>9129431.7599999998</v>
      </c>
      <c r="F11" s="30">
        <v>17578312.59</v>
      </c>
      <c r="G11" s="29">
        <v>48.06</v>
      </c>
    </row>
    <row r="12" spans="1:7" s="11" customFormat="1">
      <c r="A12" s="21" t="s">
        <v>67</v>
      </c>
      <c r="B12" s="11" t="s">
        <v>68</v>
      </c>
      <c r="C12" s="17" t="s">
        <v>235</v>
      </c>
      <c r="D12" s="30">
        <v>0</v>
      </c>
      <c r="E12" s="30">
        <v>421.2</v>
      </c>
      <c r="F12" s="30">
        <v>421.2</v>
      </c>
      <c r="G12" s="29">
        <v>0</v>
      </c>
    </row>
    <row r="13" spans="1:7" s="11" customFormat="1">
      <c r="A13" s="22" t="s">
        <v>69</v>
      </c>
      <c r="B13" s="11" t="s">
        <v>70</v>
      </c>
      <c r="C13" s="17" t="s">
        <v>235</v>
      </c>
      <c r="D13" s="30">
        <v>169300.29</v>
      </c>
      <c r="E13" s="30">
        <v>8018566.1799999997</v>
      </c>
      <c r="F13" s="30">
        <v>8187866.4699999997</v>
      </c>
      <c r="G13" s="29">
        <v>2.0699999999999998</v>
      </c>
    </row>
    <row r="14" spans="1:7" s="11" customFormat="1">
      <c r="A14" s="21" t="s">
        <v>71</v>
      </c>
      <c r="B14" s="11" t="s">
        <v>72</v>
      </c>
      <c r="C14" s="17" t="s">
        <v>235</v>
      </c>
      <c r="D14" s="30">
        <v>0</v>
      </c>
      <c r="E14" s="30">
        <v>23622.54</v>
      </c>
      <c r="F14" s="30">
        <v>23622.54</v>
      </c>
      <c r="G14" s="29">
        <v>0</v>
      </c>
    </row>
    <row r="15" spans="1:7" s="11" customFormat="1">
      <c r="A15" s="22" t="s">
        <v>73</v>
      </c>
      <c r="B15" s="11" t="s">
        <v>74</v>
      </c>
      <c r="C15" s="17" t="s">
        <v>235</v>
      </c>
      <c r="D15" s="30">
        <v>0</v>
      </c>
      <c r="E15" s="30">
        <v>529450.56999999995</v>
      </c>
      <c r="F15" s="30">
        <v>529450.56999999995</v>
      </c>
      <c r="G15" s="29">
        <v>0</v>
      </c>
    </row>
    <row r="16" spans="1:7" s="11" customFormat="1">
      <c r="A16" s="21" t="s">
        <v>75</v>
      </c>
      <c r="B16" s="11" t="s">
        <v>76</v>
      </c>
      <c r="C16" s="17" t="s">
        <v>235</v>
      </c>
      <c r="D16" s="30">
        <v>9072382.0200000014</v>
      </c>
      <c r="E16" s="30">
        <v>2818023.26</v>
      </c>
      <c r="F16" s="30">
        <v>11890405.279999999</v>
      </c>
      <c r="G16" s="29">
        <v>76.3</v>
      </c>
    </row>
    <row r="17" spans="1:7" s="11" customFormat="1">
      <c r="A17" s="22" t="s">
        <v>77</v>
      </c>
      <c r="B17" s="11" t="s">
        <v>78</v>
      </c>
      <c r="C17" s="17">
        <v>2025</v>
      </c>
      <c r="D17" s="30">
        <v>17971825.260000002</v>
      </c>
      <c r="E17" s="30">
        <v>80831665.129999995</v>
      </c>
      <c r="F17" s="30">
        <v>98803490.390000001</v>
      </c>
      <c r="G17" s="29">
        <v>28.84</v>
      </c>
    </row>
    <row r="18" spans="1:7" s="11" customFormat="1">
      <c r="A18" s="21" t="s">
        <v>79</v>
      </c>
      <c r="B18" s="11" t="s">
        <v>80</v>
      </c>
      <c r="C18" s="17" t="s">
        <v>235</v>
      </c>
      <c r="D18" s="30">
        <v>32750</v>
      </c>
      <c r="E18" s="30">
        <v>14462.26</v>
      </c>
      <c r="F18" s="30">
        <v>47212.26</v>
      </c>
      <c r="G18" s="29">
        <v>69.37</v>
      </c>
    </row>
    <row r="19" spans="1:7" s="11" customFormat="1">
      <c r="A19" s="22" t="s">
        <v>81</v>
      </c>
      <c r="B19" s="11" t="s">
        <v>82</v>
      </c>
      <c r="C19" s="17" t="s">
        <v>235</v>
      </c>
      <c r="D19" s="30">
        <v>538192.22</v>
      </c>
      <c r="E19" s="30">
        <v>180018.32</v>
      </c>
      <c r="F19" s="30">
        <v>718210.54</v>
      </c>
      <c r="G19" s="29">
        <v>74.94</v>
      </c>
    </row>
    <row r="20" spans="1:7" s="11" customFormat="1">
      <c r="A20" s="21" t="s">
        <v>83</v>
      </c>
      <c r="B20" s="11" t="s">
        <v>84</v>
      </c>
      <c r="C20" s="17" t="s">
        <v>235</v>
      </c>
      <c r="D20" s="30">
        <v>864817</v>
      </c>
      <c r="E20" s="30">
        <v>218862.45</v>
      </c>
      <c r="F20" s="30">
        <v>1083679.45</v>
      </c>
      <c r="G20" s="29">
        <v>79.8</v>
      </c>
    </row>
    <row r="21" spans="1:7" s="11" customFormat="1">
      <c r="A21" s="22" t="s">
        <v>85</v>
      </c>
      <c r="B21" s="11" t="s">
        <v>86</v>
      </c>
      <c r="C21" s="17" t="s">
        <v>235</v>
      </c>
      <c r="D21" s="30">
        <v>22117.95</v>
      </c>
      <c r="E21" s="30">
        <v>221804.51</v>
      </c>
      <c r="F21" s="30">
        <v>243922.46</v>
      </c>
      <c r="G21" s="29">
        <v>9.07</v>
      </c>
    </row>
    <row r="22" spans="1:7" s="11" customFormat="1">
      <c r="A22" s="21" t="s">
        <v>87</v>
      </c>
      <c r="B22" s="11" t="s">
        <v>88</v>
      </c>
      <c r="C22" s="17" t="s">
        <v>235</v>
      </c>
      <c r="D22" s="30">
        <v>0</v>
      </c>
      <c r="E22" s="30">
        <v>1021084.09</v>
      </c>
      <c r="F22" s="30">
        <v>1021084.09</v>
      </c>
      <c r="G22" s="29">
        <v>0</v>
      </c>
    </row>
    <row r="23" spans="1:7" s="11" customFormat="1">
      <c r="A23" s="22" t="s">
        <v>89</v>
      </c>
      <c r="B23" s="11" t="s">
        <v>90</v>
      </c>
      <c r="C23" s="17" t="s">
        <v>235</v>
      </c>
      <c r="D23" s="30">
        <v>5008354.1100000003</v>
      </c>
      <c r="E23" s="30">
        <v>4114669.84</v>
      </c>
      <c r="F23" s="30">
        <v>9123023.9499999993</v>
      </c>
      <c r="G23" s="29">
        <v>54.9</v>
      </c>
    </row>
    <row r="24" spans="1:7" s="11" customFormat="1">
      <c r="A24" s="21" t="s">
        <v>91</v>
      </c>
      <c r="B24" s="11" t="s">
        <v>92</v>
      </c>
      <c r="C24" s="17" t="s">
        <v>235</v>
      </c>
      <c r="D24" s="30">
        <v>949348.19</v>
      </c>
      <c r="E24" s="30">
        <v>1155566.5</v>
      </c>
      <c r="F24" s="30">
        <v>2104914.69</v>
      </c>
      <c r="G24" s="29">
        <v>45.1</v>
      </c>
    </row>
    <row r="25" spans="1:7" s="11" customFormat="1">
      <c r="A25" s="22" t="s">
        <v>93</v>
      </c>
      <c r="B25" s="11" t="s">
        <v>94</v>
      </c>
      <c r="C25" s="17" t="s">
        <v>235</v>
      </c>
      <c r="D25" s="30">
        <v>351207.3</v>
      </c>
      <c r="E25" s="30">
        <v>20309552.859999999</v>
      </c>
      <c r="F25" s="30">
        <v>20660760.16</v>
      </c>
      <c r="G25" s="29">
        <v>1.7</v>
      </c>
    </row>
    <row r="26" spans="1:7" s="11" customFormat="1">
      <c r="A26" s="21" t="s">
        <v>95</v>
      </c>
      <c r="B26" s="11" t="s">
        <v>96</v>
      </c>
      <c r="C26" s="17" t="s">
        <v>235</v>
      </c>
      <c r="D26" s="30">
        <v>366303.2</v>
      </c>
      <c r="E26" s="30">
        <v>4689408.1399999997</v>
      </c>
      <c r="F26" s="30">
        <v>5055711.34</v>
      </c>
      <c r="G26" s="29">
        <v>7.25</v>
      </c>
    </row>
    <row r="27" spans="1:7" s="11" customFormat="1">
      <c r="A27" s="22" t="s">
        <v>97</v>
      </c>
      <c r="B27" s="11" t="s">
        <v>98</v>
      </c>
      <c r="C27" s="17" t="s">
        <v>235</v>
      </c>
      <c r="D27" s="30">
        <v>0</v>
      </c>
      <c r="E27" s="30">
        <v>58016.65</v>
      </c>
      <c r="F27" s="30">
        <v>58016.65</v>
      </c>
      <c r="G27" s="29">
        <v>0</v>
      </c>
    </row>
    <row r="28" spans="1:7" s="11" customFormat="1">
      <c r="A28" s="21" t="s">
        <v>99</v>
      </c>
      <c r="B28" s="11" t="s">
        <v>100</v>
      </c>
      <c r="C28" s="17" t="s">
        <v>235</v>
      </c>
      <c r="D28" s="30">
        <v>2009573.6</v>
      </c>
      <c r="E28" s="30">
        <v>2010461.11</v>
      </c>
      <c r="F28" s="30">
        <v>4020034.71</v>
      </c>
      <c r="G28" s="29">
        <v>49.99</v>
      </c>
    </row>
    <row r="29" spans="1:7" s="11" customFormat="1">
      <c r="A29" s="22" t="s">
        <v>101</v>
      </c>
      <c r="B29" s="11" t="s">
        <v>102</v>
      </c>
      <c r="C29" s="17" t="s">
        <v>235</v>
      </c>
      <c r="D29" s="30">
        <v>0</v>
      </c>
      <c r="E29" s="30">
        <v>1678492.27</v>
      </c>
      <c r="F29" s="30">
        <v>1678492.27</v>
      </c>
      <c r="G29" s="29">
        <v>0</v>
      </c>
    </row>
    <row r="30" spans="1:7" s="11" customFormat="1">
      <c r="A30" s="21" t="s">
        <v>103</v>
      </c>
      <c r="B30" s="11" t="s">
        <v>104</v>
      </c>
      <c r="C30" s="17" t="s">
        <v>235</v>
      </c>
      <c r="D30" s="30">
        <v>16803</v>
      </c>
      <c r="E30" s="30">
        <v>1446993.43</v>
      </c>
      <c r="F30" s="30">
        <v>1463796.43</v>
      </c>
      <c r="G30" s="29">
        <v>1.1499999999999999</v>
      </c>
    </row>
    <row r="31" spans="1:7" s="11" customFormat="1">
      <c r="A31" s="22" t="s">
        <v>105</v>
      </c>
      <c r="B31" s="11" t="s">
        <v>106</v>
      </c>
      <c r="C31" s="17" t="s">
        <v>235</v>
      </c>
      <c r="D31" s="30">
        <v>217741.31</v>
      </c>
      <c r="E31" s="30">
        <v>11945624.199999999</v>
      </c>
      <c r="F31" s="30">
        <v>12163365.51</v>
      </c>
      <c r="G31" s="29">
        <v>1.79</v>
      </c>
    </row>
    <row r="32" spans="1:7" s="11" customFormat="1">
      <c r="A32" s="21" t="s">
        <v>107</v>
      </c>
      <c r="B32" s="11" t="s">
        <v>108</v>
      </c>
      <c r="C32" s="17" t="s">
        <v>235</v>
      </c>
      <c r="D32" s="30">
        <v>8487.869999999999</v>
      </c>
      <c r="E32" s="30">
        <v>1200681.83</v>
      </c>
      <c r="F32" s="30">
        <v>1209169.7</v>
      </c>
      <c r="G32" s="29">
        <v>0.7</v>
      </c>
    </row>
    <row r="33" spans="1:7" s="11" customFormat="1">
      <c r="A33" s="22" t="s">
        <v>109</v>
      </c>
      <c r="B33" s="11" t="s">
        <v>110</v>
      </c>
      <c r="C33" s="17" t="s">
        <v>235</v>
      </c>
      <c r="D33" s="30">
        <v>3720304.36</v>
      </c>
      <c r="E33" s="30">
        <v>4050391.05</v>
      </c>
      <c r="F33" s="30">
        <v>7770695.4100000001</v>
      </c>
      <c r="G33" s="29">
        <v>47.88</v>
      </c>
    </row>
    <row r="34" spans="1:7" s="11" customFormat="1">
      <c r="A34" s="21" t="s">
        <v>111</v>
      </c>
      <c r="B34" s="11" t="s">
        <v>112</v>
      </c>
      <c r="C34" s="17" t="s">
        <v>235</v>
      </c>
      <c r="D34" s="30">
        <v>47118922.359999999</v>
      </c>
      <c r="E34" s="30">
        <v>30434473.870000001</v>
      </c>
      <c r="F34" s="30">
        <v>77553396.230000004</v>
      </c>
      <c r="G34" s="29">
        <v>60.76</v>
      </c>
    </row>
    <row r="35" spans="1:7" s="11" customFormat="1">
      <c r="A35" s="22" t="s">
        <v>113</v>
      </c>
      <c r="B35" s="11" t="s">
        <v>114</v>
      </c>
      <c r="C35" s="17" t="s">
        <v>235</v>
      </c>
      <c r="D35" s="30">
        <v>703723106.25999999</v>
      </c>
      <c r="E35" s="30">
        <v>182352032.66999999</v>
      </c>
      <c r="F35" s="30">
        <v>886075138.92999995</v>
      </c>
      <c r="G35" s="29">
        <v>79.42</v>
      </c>
    </row>
    <row r="36" spans="1:7" s="11" customFormat="1">
      <c r="A36" s="21" t="s">
        <v>115</v>
      </c>
      <c r="B36" s="11" t="s">
        <v>116</v>
      </c>
      <c r="C36" s="17" t="s">
        <v>235</v>
      </c>
      <c r="D36" s="30">
        <v>1878683.76</v>
      </c>
      <c r="E36" s="30">
        <v>4013680.74</v>
      </c>
      <c r="F36" s="30">
        <v>5892364.5</v>
      </c>
      <c r="G36" s="29">
        <v>31.88</v>
      </c>
    </row>
    <row r="37" spans="1:7" s="11" customFormat="1">
      <c r="A37" s="22" t="s">
        <v>117</v>
      </c>
      <c r="B37" s="11" t="s">
        <v>118</v>
      </c>
      <c r="C37" s="17" t="s">
        <v>235</v>
      </c>
      <c r="D37" s="30">
        <v>666238.6</v>
      </c>
      <c r="E37" s="30">
        <v>31028314.050000001</v>
      </c>
      <c r="F37" s="30">
        <v>31694552.649999999</v>
      </c>
      <c r="G37" s="29">
        <v>2.1</v>
      </c>
    </row>
    <row r="38" spans="1:7" s="11" customFormat="1">
      <c r="A38" s="21" t="s">
        <v>119</v>
      </c>
      <c r="B38" s="11" t="s">
        <v>120</v>
      </c>
      <c r="C38" s="17" t="s">
        <v>235</v>
      </c>
      <c r="D38" s="30">
        <v>9992.9</v>
      </c>
      <c r="E38" s="30">
        <v>933835.59</v>
      </c>
      <c r="F38" s="30">
        <v>943828.49</v>
      </c>
      <c r="G38" s="29">
        <v>1.06</v>
      </c>
    </row>
    <row r="39" spans="1:7" s="11" customFormat="1">
      <c r="A39" s="22" t="s">
        <v>121</v>
      </c>
      <c r="B39" s="11" t="s">
        <v>122</v>
      </c>
      <c r="C39" s="17" t="s">
        <v>235</v>
      </c>
      <c r="D39" s="30">
        <v>7701549.4000000004</v>
      </c>
      <c r="E39" s="30">
        <v>3210863.29</v>
      </c>
      <c r="F39" s="30">
        <v>10912412.689999999</v>
      </c>
      <c r="G39" s="29">
        <v>70.58</v>
      </c>
    </row>
    <row r="40" spans="1:7" s="11" customFormat="1">
      <c r="A40" s="21" t="s">
        <v>123</v>
      </c>
      <c r="B40" s="11" t="s">
        <v>124</v>
      </c>
      <c r="C40" s="17" t="s">
        <v>235</v>
      </c>
      <c r="D40" s="30">
        <v>0</v>
      </c>
      <c r="E40" s="30">
        <v>811765.46</v>
      </c>
      <c r="F40" s="30">
        <v>811765.46</v>
      </c>
      <c r="G40" s="29">
        <v>0</v>
      </c>
    </row>
    <row r="41" spans="1:7" s="11" customFormat="1">
      <c r="A41" s="22" t="s">
        <v>125</v>
      </c>
      <c r="B41" s="11" t="s">
        <v>126</v>
      </c>
      <c r="C41" s="17" t="s">
        <v>235</v>
      </c>
      <c r="D41" s="30">
        <v>43448.91</v>
      </c>
      <c r="E41" s="30">
        <v>3776527.75</v>
      </c>
      <c r="F41" s="30">
        <v>3819976.66</v>
      </c>
      <c r="G41" s="29">
        <v>1.1399999999999999</v>
      </c>
    </row>
    <row r="42" spans="1:7" s="11" customFormat="1">
      <c r="A42" s="21" t="s">
        <v>127</v>
      </c>
      <c r="B42" s="11" t="s">
        <v>128</v>
      </c>
      <c r="C42" s="17" t="s">
        <v>235</v>
      </c>
      <c r="D42" s="30">
        <v>0</v>
      </c>
      <c r="E42" s="30">
        <v>169689.18</v>
      </c>
      <c r="F42" s="30">
        <v>169689.18</v>
      </c>
      <c r="G42" s="29">
        <v>0</v>
      </c>
    </row>
    <row r="43" spans="1:7" s="11" customFormat="1">
      <c r="A43" s="22" t="s">
        <v>129</v>
      </c>
      <c r="B43" s="11" t="s">
        <v>130</v>
      </c>
      <c r="C43" s="17" t="s">
        <v>235</v>
      </c>
      <c r="D43" s="30">
        <v>0</v>
      </c>
      <c r="E43" s="30">
        <v>238602.53</v>
      </c>
      <c r="F43" s="30">
        <v>238602.53</v>
      </c>
      <c r="G43" s="29">
        <v>0</v>
      </c>
    </row>
    <row r="44" spans="1:7" s="11" customFormat="1">
      <c r="A44" s="21" t="s">
        <v>131</v>
      </c>
      <c r="B44" s="11" t="s">
        <v>132</v>
      </c>
      <c r="C44" s="17" t="s">
        <v>235</v>
      </c>
      <c r="D44" s="30">
        <v>49200.05</v>
      </c>
      <c r="E44" s="30">
        <v>195571.3</v>
      </c>
      <c r="F44" s="30">
        <v>244771.35</v>
      </c>
      <c r="G44" s="29">
        <v>20.100000000000001</v>
      </c>
    </row>
    <row r="45" spans="1:7" s="11" customFormat="1">
      <c r="A45" s="22" t="s">
        <v>133</v>
      </c>
      <c r="B45" s="11" t="s">
        <v>134</v>
      </c>
      <c r="C45" s="17" t="s">
        <v>235</v>
      </c>
      <c r="D45" s="30">
        <v>22500</v>
      </c>
      <c r="E45" s="30">
        <v>1938609.48</v>
      </c>
      <c r="F45" s="30">
        <v>1961109.48</v>
      </c>
      <c r="G45" s="29">
        <v>1.1499999999999999</v>
      </c>
    </row>
    <row r="46" spans="1:7" s="11" customFormat="1">
      <c r="A46" s="21" t="s">
        <v>135</v>
      </c>
      <c r="B46" s="11" t="s">
        <v>136</v>
      </c>
      <c r="C46" s="17" t="s">
        <v>235</v>
      </c>
      <c r="D46" s="30">
        <v>0</v>
      </c>
      <c r="E46" s="30">
        <v>8698702.0899999999</v>
      </c>
      <c r="F46" s="30">
        <v>8698702.0899999999</v>
      </c>
      <c r="G46" s="29">
        <v>0</v>
      </c>
    </row>
    <row r="47" spans="1:7" s="11" customFormat="1">
      <c r="A47" s="22" t="s">
        <v>137</v>
      </c>
      <c r="B47" s="11" t="s">
        <v>138</v>
      </c>
      <c r="C47" s="17" t="s">
        <v>235</v>
      </c>
      <c r="D47" s="30">
        <v>1310994.1000000001</v>
      </c>
      <c r="E47" s="30">
        <v>1518783.14</v>
      </c>
      <c r="F47" s="30">
        <v>2829777.24</v>
      </c>
      <c r="G47" s="29">
        <v>46.33</v>
      </c>
    </row>
    <row r="48" spans="1:7" s="11" customFormat="1">
      <c r="A48" s="21" t="s">
        <v>139</v>
      </c>
      <c r="B48" s="11" t="s">
        <v>140</v>
      </c>
      <c r="C48" s="17" t="s">
        <v>235</v>
      </c>
      <c r="D48" s="30">
        <v>43563093.289999999</v>
      </c>
      <c r="E48" s="30">
        <v>40965.42</v>
      </c>
      <c r="F48" s="30">
        <v>43604058.710000001</v>
      </c>
      <c r="G48" s="29">
        <v>99.91</v>
      </c>
    </row>
    <row r="49" spans="1:7" s="11" customFormat="1">
      <c r="A49" s="22" t="s">
        <v>141</v>
      </c>
      <c r="B49" s="11" t="s">
        <v>142</v>
      </c>
      <c r="C49" s="17" t="s">
        <v>235</v>
      </c>
      <c r="D49" s="30">
        <v>5828481.3899999997</v>
      </c>
      <c r="E49" s="30">
        <v>6298532.7400000002</v>
      </c>
      <c r="F49" s="30">
        <v>12127014.130000001</v>
      </c>
      <c r="G49" s="29">
        <v>48.06</v>
      </c>
    </row>
    <row r="50" spans="1:7" s="11" customFormat="1">
      <c r="A50" s="21" t="s">
        <v>143</v>
      </c>
      <c r="B50" s="11" t="s">
        <v>144</v>
      </c>
      <c r="C50" s="17" t="s">
        <v>235</v>
      </c>
      <c r="D50" s="30">
        <v>2685158.58</v>
      </c>
      <c r="E50" s="30">
        <v>4888368.79</v>
      </c>
      <c r="F50" s="30">
        <v>7573527.3700000001</v>
      </c>
      <c r="G50" s="29">
        <v>35.450000000000003</v>
      </c>
    </row>
    <row r="51" spans="1:7" s="11" customFormat="1">
      <c r="A51" s="22" t="s">
        <v>145</v>
      </c>
      <c r="B51" s="11" t="s">
        <v>146</v>
      </c>
      <c r="C51" s="17" t="s">
        <v>235</v>
      </c>
      <c r="D51" s="30">
        <v>23784430.890000001</v>
      </c>
      <c r="E51" s="30">
        <v>142432035.80000001</v>
      </c>
      <c r="F51" s="30">
        <v>166216466.69</v>
      </c>
      <c r="G51" s="29">
        <v>14.31</v>
      </c>
    </row>
    <row r="52" spans="1:7" s="11" customFormat="1">
      <c r="A52" s="21" t="s">
        <v>147</v>
      </c>
      <c r="B52" s="11" t="s">
        <v>148</v>
      </c>
      <c r="C52" s="17" t="s">
        <v>235</v>
      </c>
      <c r="D52" s="30">
        <v>6288573.2199999997</v>
      </c>
      <c r="E52" s="30">
        <v>770292.19</v>
      </c>
      <c r="F52" s="30">
        <v>7058865.4100000001</v>
      </c>
      <c r="G52" s="29">
        <v>89.09</v>
      </c>
    </row>
    <row r="53" spans="1:7" s="11" customFormat="1">
      <c r="A53" s="22" t="s">
        <v>149</v>
      </c>
      <c r="B53" s="11" t="s">
        <v>150</v>
      </c>
      <c r="C53" s="17" t="s">
        <v>235</v>
      </c>
      <c r="D53" s="30">
        <v>2451120.9700000002</v>
      </c>
      <c r="E53" s="30">
        <v>1148501.9099999999</v>
      </c>
      <c r="F53" s="30">
        <v>3599622.88</v>
      </c>
      <c r="G53" s="29">
        <v>68.09</v>
      </c>
    </row>
    <row r="54" spans="1:7" s="11" customFormat="1">
      <c r="A54" s="21" t="s">
        <v>151</v>
      </c>
      <c r="B54" s="11" t="s">
        <v>152</v>
      </c>
      <c r="C54" s="17" t="s">
        <v>235</v>
      </c>
      <c r="D54" s="30">
        <v>36439117.390000001</v>
      </c>
      <c r="E54" s="30">
        <v>5930067.2400000002</v>
      </c>
      <c r="F54" s="30">
        <v>42369184.630000003</v>
      </c>
      <c r="G54" s="29">
        <v>86</v>
      </c>
    </row>
    <row r="55" spans="1:7" s="11" customFormat="1">
      <c r="A55" s="22" t="s">
        <v>153</v>
      </c>
      <c r="B55" s="11" t="s">
        <v>154</v>
      </c>
      <c r="C55" s="17" t="s">
        <v>235</v>
      </c>
      <c r="D55" s="30">
        <v>13198372.51</v>
      </c>
      <c r="E55" s="30">
        <v>261525.85</v>
      </c>
      <c r="F55" s="30">
        <v>13459898.359999999</v>
      </c>
      <c r="G55" s="29">
        <v>98.06</v>
      </c>
    </row>
    <row r="56" spans="1:7" s="11" customFormat="1">
      <c r="A56" s="21" t="s">
        <v>155</v>
      </c>
      <c r="B56" s="11" t="s">
        <v>156</v>
      </c>
      <c r="C56" s="17" t="s">
        <v>235</v>
      </c>
      <c r="D56" s="30">
        <v>1268123.9099999999</v>
      </c>
      <c r="E56" s="30">
        <v>1076839.53</v>
      </c>
      <c r="F56" s="30">
        <v>2344963.44</v>
      </c>
      <c r="G56" s="29">
        <v>54.08</v>
      </c>
    </row>
    <row r="57" spans="1:7" s="11" customFormat="1">
      <c r="A57" s="22" t="s">
        <v>157</v>
      </c>
      <c r="B57" s="11" t="s">
        <v>158</v>
      </c>
      <c r="C57" s="17" t="s">
        <v>235</v>
      </c>
      <c r="D57" s="30">
        <v>0</v>
      </c>
      <c r="E57" s="30">
        <v>1093.6600000000001</v>
      </c>
      <c r="F57" s="30">
        <v>1093.6600000000001</v>
      </c>
      <c r="G57" s="29">
        <v>0</v>
      </c>
    </row>
    <row r="58" spans="1:7" s="11" customFormat="1">
      <c r="A58" s="21" t="s">
        <v>159</v>
      </c>
      <c r="B58" s="11" t="s">
        <v>160</v>
      </c>
      <c r="C58" s="17" t="s">
        <v>235</v>
      </c>
      <c r="D58" s="30">
        <v>3613480.42</v>
      </c>
      <c r="E58" s="30">
        <v>153163.47</v>
      </c>
      <c r="F58" s="30">
        <v>3766643.89</v>
      </c>
      <c r="G58" s="29">
        <v>95.93</v>
      </c>
    </row>
    <row r="59" spans="1:7" s="11" customFormat="1">
      <c r="A59" s="22" t="s">
        <v>161</v>
      </c>
      <c r="B59" s="11" t="s">
        <v>162</v>
      </c>
      <c r="C59" s="17" t="s">
        <v>235</v>
      </c>
      <c r="D59" s="30">
        <v>119418.46</v>
      </c>
      <c r="E59" s="30">
        <v>880187.52</v>
      </c>
      <c r="F59" s="30">
        <v>999605.98</v>
      </c>
      <c r="G59" s="29">
        <v>11.95</v>
      </c>
    </row>
    <row r="60" spans="1:7" s="11" customFormat="1">
      <c r="A60" s="21" t="s">
        <v>163</v>
      </c>
      <c r="B60" s="11" t="s">
        <v>164</v>
      </c>
      <c r="C60" s="17" t="s">
        <v>235</v>
      </c>
      <c r="D60" s="30">
        <v>11842640.640000001</v>
      </c>
      <c r="E60" s="30">
        <v>6396797.7800000003</v>
      </c>
      <c r="F60" s="30">
        <v>18239438.420000002</v>
      </c>
      <c r="G60" s="29">
        <v>64.930000000000007</v>
      </c>
    </row>
    <row r="61" spans="1:7" s="11" customFormat="1">
      <c r="A61" s="22" t="s">
        <v>165</v>
      </c>
      <c r="B61" s="11" t="s">
        <v>166</v>
      </c>
      <c r="C61" s="17" t="s">
        <v>235</v>
      </c>
      <c r="D61" s="30">
        <v>391697.84</v>
      </c>
      <c r="E61" s="30">
        <v>1002598.39</v>
      </c>
      <c r="F61" s="30">
        <v>1394296.23</v>
      </c>
      <c r="G61" s="29">
        <v>28.09</v>
      </c>
    </row>
    <row r="62" spans="1:7" s="11" customFormat="1">
      <c r="A62" s="21" t="s">
        <v>167</v>
      </c>
      <c r="B62" s="11" t="s">
        <v>168</v>
      </c>
      <c r="C62" s="17" t="s">
        <v>235</v>
      </c>
      <c r="D62" s="30">
        <v>40071072.850000001</v>
      </c>
      <c r="E62" s="30">
        <v>19670259.27</v>
      </c>
      <c r="F62" s="30">
        <v>59741332.119999997</v>
      </c>
      <c r="G62" s="29">
        <v>67.069999999999993</v>
      </c>
    </row>
    <row r="63" spans="1:7" s="11" customFormat="1">
      <c r="A63" s="22" t="s">
        <v>169</v>
      </c>
      <c r="B63" s="11" t="s">
        <v>170</v>
      </c>
      <c r="C63" s="17" t="s">
        <v>235</v>
      </c>
      <c r="D63" s="30">
        <v>4427.33</v>
      </c>
      <c r="E63" s="30">
        <v>1337736.1299999999</v>
      </c>
      <c r="F63" s="30">
        <v>1342163.46</v>
      </c>
      <c r="G63" s="29">
        <v>0.33</v>
      </c>
    </row>
    <row r="64" spans="1:7" s="11" customFormat="1">
      <c r="A64" s="21" t="s">
        <v>171</v>
      </c>
      <c r="B64" s="11" t="s">
        <v>172</v>
      </c>
      <c r="C64" s="17" t="s">
        <v>235</v>
      </c>
      <c r="D64" s="30">
        <v>1945004.91</v>
      </c>
      <c r="E64" s="30">
        <v>602803.1</v>
      </c>
      <c r="F64" s="30">
        <v>2547808.0099999998</v>
      </c>
      <c r="G64" s="29">
        <v>76.34</v>
      </c>
    </row>
    <row r="65" spans="1:7" s="11" customFormat="1">
      <c r="A65" s="22" t="s">
        <v>173</v>
      </c>
      <c r="B65" s="11" t="s">
        <v>174</v>
      </c>
      <c r="C65" s="17" t="s">
        <v>235</v>
      </c>
      <c r="D65" s="30">
        <v>24681176.32</v>
      </c>
      <c r="E65" s="30">
        <v>5771264.0499999998</v>
      </c>
      <c r="F65" s="30">
        <v>30452440.370000001</v>
      </c>
      <c r="G65" s="29">
        <v>81.05</v>
      </c>
    </row>
    <row r="66" spans="1:7" s="11" customFormat="1">
      <c r="A66" s="21" t="s">
        <v>175</v>
      </c>
      <c r="B66" s="11" t="s">
        <v>176</v>
      </c>
      <c r="C66" s="17" t="s">
        <v>235</v>
      </c>
      <c r="D66" s="30">
        <v>88060201.629999995</v>
      </c>
      <c r="E66" s="30">
        <v>33633113.659999996</v>
      </c>
      <c r="F66" s="30">
        <v>121693315.29000001</v>
      </c>
      <c r="G66" s="29">
        <v>72.36</v>
      </c>
    </row>
    <row r="67" spans="1:7" s="11" customFormat="1">
      <c r="A67" s="22" t="s">
        <v>177</v>
      </c>
      <c r="B67" s="11" t="s">
        <v>178</v>
      </c>
      <c r="C67" s="17" t="s">
        <v>235</v>
      </c>
      <c r="D67" s="30">
        <v>882949.87999999989</v>
      </c>
      <c r="E67" s="30">
        <v>51076.91</v>
      </c>
      <c r="F67" s="30">
        <v>934026.78999999992</v>
      </c>
      <c r="G67" s="29">
        <v>94.53</v>
      </c>
    </row>
    <row r="68" spans="1:7" s="11" customFormat="1">
      <c r="A68" s="21" t="s">
        <v>179</v>
      </c>
      <c r="B68" s="11" t="s">
        <v>180</v>
      </c>
      <c r="C68" s="17" t="s">
        <v>235</v>
      </c>
      <c r="D68" s="30">
        <v>28377.599999999999</v>
      </c>
      <c r="E68" s="30">
        <v>347497.67</v>
      </c>
      <c r="F68" s="30">
        <v>375875.27</v>
      </c>
      <c r="G68" s="29">
        <v>7.55</v>
      </c>
    </row>
    <row r="69" spans="1:7" s="11" customFormat="1">
      <c r="A69" s="22" t="s">
        <v>181</v>
      </c>
      <c r="B69" s="11" t="s">
        <v>182</v>
      </c>
      <c r="C69" s="17" t="s">
        <v>235</v>
      </c>
      <c r="D69" s="30">
        <v>798000</v>
      </c>
      <c r="E69" s="30">
        <v>10445.9</v>
      </c>
      <c r="F69" s="30">
        <v>808445.9</v>
      </c>
      <c r="G69" s="29">
        <v>98.71</v>
      </c>
    </row>
    <row r="70" spans="1:7" s="11" customFormat="1">
      <c r="A70" s="21" t="s">
        <v>183</v>
      </c>
      <c r="B70" s="11" t="s">
        <v>184</v>
      </c>
      <c r="C70" s="17" t="s">
        <v>235</v>
      </c>
      <c r="D70" s="30">
        <v>260739491.38</v>
      </c>
      <c r="E70" s="30">
        <v>245576326.05000001</v>
      </c>
      <c r="F70" s="30">
        <v>506315817.43000001</v>
      </c>
      <c r="G70" s="29">
        <v>51.5</v>
      </c>
    </row>
    <row r="71" spans="1:7" s="11" customFormat="1">
      <c r="A71" s="22" t="s">
        <v>185</v>
      </c>
      <c r="B71" s="11" t="s">
        <v>186</v>
      </c>
      <c r="C71" s="17" t="s">
        <v>235</v>
      </c>
      <c r="D71" s="30">
        <v>76288433</v>
      </c>
      <c r="E71" s="30">
        <v>23922410</v>
      </c>
      <c r="F71" s="30">
        <v>100210843</v>
      </c>
      <c r="G71" s="29">
        <v>76.13</v>
      </c>
    </row>
    <row r="72" spans="1:7" s="11" customFormat="1">
      <c r="A72" s="21" t="s">
        <v>187</v>
      </c>
      <c r="B72" s="11" t="s">
        <v>188</v>
      </c>
      <c r="C72" s="17" t="s">
        <v>235</v>
      </c>
      <c r="D72" s="30">
        <v>862170</v>
      </c>
      <c r="E72" s="30">
        <v>32000</v>
      </c>
      <c r="F72" s="30">
        <v>894170</v>
      </c>
      <c r="G72" s="29">
        <v>96.42</v>
      </c>
    </row>
    <row r="73" spans="1:7" s="11" customFormat="1">
      <c r="A73" s="22" t="s">
        <v>189</v>
      </c>
      <c r="B73" s="11" t="s">
        <v>190</v>
      </c>
      <c r="C73" s="17" t="s">
        <v>235</v>
      </c>
      <c r="D73" s="30">
        <v>1519335</v>
      </c>
      <c r="E73" s="30">
        <v>6581131.3399999999</v>
      </c>
      <c r="F73" s="30">
        <v>8100466.3399999999</v>
      </c>
      <c r="G73" s="29">
        <v>18.760000000000002</v>
      </c>
    </row>
    <row r="74" spans="1:7" s="11" customFormat="1">
      <c r="A74" s="21" t="s">
        <v>191</v>
      </c>
      <c r="B74" s="11" t="s">
        <v>192</v>
      </c>
      <c r="C74" s="17" t="s">
        <v>235</v>
      </c>
      <c r="D74" s="30">
        <v>4939661.3499999996</v>
      </c>
      <c r="E74" s="30">
        <v>74200</v>
      </c>
      <c r="F74" s="30">
        <v>5013861.3499999996</v>
      </c>
      <c r="G74" s="29">
        <v>98.52</v>
      </c>
    </row>
    <row r="75" spans="1:7" s="11" customFormat="1">
      <c r="A75" s="22" t="s">
        <v>193</v>
      </c>
      <c r="B75" s="11" t="s">
        <v>194</v>
      </c>
      <c r="C75" s="17" t="s">
        <v>235</v>
      </c>
      <c r="D75" s="30">
        <v>108501000.53</v>
      </c>
      <c r="E75" s="30">
        <v>70822.11</v>
      </c>
      <c r="F75" s="30">
        <v>108571822.64</v>
      </c>
      <c r="G75" s="29">
        <v>99.93</v>
      </c>
    </row>
    <row r="76" spans="1:7" s="11" customFormat="1">
      <c r="A76" s="21" t="s">
        <v>195</v>
      </c>
      <c r="B76" s="11" t="s">
        <v>196</v>
      </c>
      <c r="C76" s="17" t="s">
        <v>235</v>
      </c>
      <c r="D76" s="30">
        <v>474500</v>
      </c>
      <c r="E76" s="30">
        <v>69531.25</v>
      </c>
      <c r="F76" s="30">
        <v>544031.25</v>
      </c>
      <c r="G76" s="29">
        <v>87.22</v>
      </c>
    </row>
    <row r="77" spans="1:7" s="11" customFormat="1">
      <c r="A77" s="22" t="s">
        <v>197</v>
      </c>
      <c r="B77" s="11" t="s">
        <v>198</v>
      </c>
      <c r="C77" s="17" t="s">
        <v>235</v>
      </c>
      <c r="D77" s="30">
        <v>34152965.619999997</v>
      </c>
      <c r="E77" s="30">
        <v>22505506.120000001</v>
      </c>
      <c r="F77" s="30">
        <v>56658471.739999987</v>
      </c>
      <c r="G77" s="29">
        <v>60.28</v>
      </c>
    </row>
    <row r="78" spans="1:7" s="11" customFormat="1">
      <c r="A78" s="21" t="s">
        <v>199</v>
      </c>
      <c r="B78" s="11" t="s">
        <v>200</v>
      </c>
      <c r="C78" s="17" t="s">
        <v>235</v>
      </c>
      <c r="D78" s="30">
        <v>7254141.7999999998</v>
      </c>
      <c r="E78" s="30">
        <v>394144.96</v>
      </c>
      <c r="F78" s="30">
        <v>7648286.7599999998</v>
      </c>
      <c r="G78" s="29">
        <v>94.85</v>
      </c>
    </row>
    <row r="79" spans="1:7" s="11" customFormat="1">
      <c r="A79" s="22" t="s">
        <v>201</v>
      </c>
      <c r="B79" s="11" t="s">
        <v>202</v>
      </c>
      <c r="C79" s="17" t="s">
        <v>235</v>
      </c>
      <c r="D79" s="30">
        <v>7540652.3399999999</v>
      </c>
      <c r="E79" s="30">
        <v>13017473.65</v>
      </c>
      <c r="F79" s="30">
        <v>20558125.989999998</v>
      </c>
      <c r="G79" s="29">
        <v>36.68</v>
      </c>
    </row>
    <row r="80" spans="1:7" s="11" customFormat="1">
      <c r="A80" s="21" t="s">
        <v>203</v>
      </c>
      <c r="B80" s="11" t="s">
        <v>204</v>
      </c>
      <c r="C80" s="17" t="s">
        <v>235</v>
      </c>
      <c r="D80" s="30">
        <v>846118.30999999994</v>
      </c>
      <c r="E80" s="30">
        <v>158790.91</v>
      </c>
      <c r="F80" s="30">
        <v>1004909.22</v>
      </c>
      <c r="G80" s="29">
        <v>84.2</v>
      </c>
    </row>
    <row r="81" spans="1:7" s="11" customFormat="1">
      <c r="A81" s="22" t="s">
        <v>205</v>
      </c>
      <c r="B81" s="11" t="s">
        <v>206</v>
      </c>
      <c r="C81" s="17" t="s">
        <v>235</v>
      </c>
      <c r="D81" s="30">
        <v>221872730.41</v>
      </c>
      <c r="E81" s="30">
        <v>145374195.11000001</v>
      </c>
      <c r="F81" s="30">
        <v>367246925.51999998</v>
      </c>
      <c r="G81" s="29">
        <v>60.42</v>
      </c>
    </row>
    <row r="82" spans="1:7" s="11" customFormat="1">
      <c r="A82" s="21" t="s">
        <v>207</v>
      </c>
      <c r="B82" s="11" t="s">
        <v>208</v>
      </c>
      <c r="C82" s="17" t="s">
        <v>235</v>
      </c>
      <c r="D82" s="30">
        <v>39038778.329999998</v>
      </c>
      <c r="E82" s="30">
        <v>8088556.46</v>
      </c>
      <c r="F82" s="30">
        <v>47127334.789999999</v>
      </c>
      <c r="G82" s="29">
        <v>82.84</v>
      </c>
    </row>
    <row r="83" spans="1:7" s="11" customFormat="1">
      <c r="A83" s="22" t="s">
        <v>209</v>
      </c>
      <c r="B83" s="11" t="s">
        <v>210</v>
      </c>
      <c r="C83" s="17" t="s">
        <v>235</v>
      </c>
      <c r="D83" s="30">
        <v>9488921.4299999997</v>
      </c>
      <c r="E83" s="30">
        <v>6477731.2599999998</v>
      </c>
      <c r="F83" s="30">
        <v>15966652.689999999</v>
      </c>
      <c r="G83" s="29">
        <v>59.43</v>
      </c>
    </row>
    <row r="84" spans="1:7" s="11" customFormat="1">
      <c r="A84" s="21" t="s">
        <v>211</v>
      </c>
      <c r="B84" s="11" t="s">
        <v>212</v>
      </c>
      <c r="C84" s="17" t="s">
        <v>235</v>
      </c>
      <c r="D84" s="30">
        <v>1718444.55</v>
      </c>
      <c r="E84" s="30">
        <v>14682503.439999999</v>
      </c>
      <c r="F84" s="30">
        <v>16400947.99</v>
      </c>
      <c r="G84" s="29">
        <v>10.48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3DBD-6860-4DA7-9794-896D35648D82}">
  <dimension ref="A1:F424"/>
  <sheetViews>
    <sheetView topLeftCell="A109" workbookViewId="0">
      <selection activeCell="I129" sqref="I129"/>
    </sheetView>
  </sheetViews>
  <sheetFormatPr defaultColWidth="8.7109375" defaultRowHeight="14.45"/>
  <cols>
    <col min="1" max="1" width="10.7109375" style="11" bestFit="1" customWidth="1"/>
    <col min="2" max="2" width="80.7109375" style="11" bestFit="1" customWidth="1"/>
    <col min="3" max="3" width="10.7109375" style="11" bestFit="1" customWidth="1"/>
    <col min="4" max="4" width="12.5703125" style="11" customWidth="1"/>
    <col min="5" max="6" width="10.7109375" style="11" bestFit="1" customWidth="1"/>
    <col min="7" max="16384" width="8.7109375" style="11"/>
  </cols>
  <sheetData>
    <row r="1" spans="1:6">
      <c r="A1" s="12" t="s">
        <v>268</v>
      </c>
      <c r="B1" s="11" t="s">
        <v>269</v>
      </c>
      <c r="C1" s="17" t="s">
        <v>235</v>
      </c>
      <c r="D1" s="17" t="s">
        <v>270</v>
      </c>
      <c r="E1" s="37" t="s">
        <v>271</v>
      </c>
      <c r="F1" s="17" t="s">
        <v>272</v>
      </c>
    </row>
    <row r="2" spans="1:6">
      <c r="A2" s="12" t="s">
        <v>273</v>
      </c>
      <c r="B2" s="11" t="s">
        <v>274</v>
      </c>
      <c r="C2" s="17" t="s">
        <v>275</v>
      </c>
      <c r="D2" s="17" t="s">
        <v>276</v>
      </c>
      <c r="E2" s="37">
        <v>2526</v>
      </c>
      <c r="F2" s="17" t="s">
        <v>277</v>
      </c>
    </row>
    <row r="3" spans="1:6">
      <c r="A3" s="12" t="s">
        <v>278</v>
      </c>
      <c r="B3" s="11" t="s">
        <v>279</v>
      </c>
      <c r="C3" s="17" t="s">
        <v>280</v>
      </c>
      <c r="D3" s="17" t="s">
        <v>281</v>
      </c>
      <c r="E3" s="37">
        <v>374</v>
      </c>
      <c r="F3" s="17" t="s">
        <v>282</v>
      </c>
    </row>
    <row r="4" spans="1:6">
      <c r="A4" s="12" t="s">
        <v>283</v>
      </c>
      <c r="B4" s="11" t="s">
        <v>284</v>
      </c>
      <c r="C4" s="17" t="s">
        <v>285</v>
      </c>
      <c r="D4" s="17" t="s">
        <v>286</v>
      </c>
      <c r="E4" s="37">
        <v>7987</v>
      </c>
      <c r="F4" s="17" t="s">
        <v>287</v>
      </c>
    </row>
    <row r="5" spans="1:6">
      <c r="A5" s="12" t="s">
        <v>288</v>
      </c>
      <c r="B5" s="11" t="s">
        <v>289</v>
      </c>
      <c r="C5" s="17" t="s">
        <v>290</v>
      </c>
      <c r="D5" s="17" t="s">
        <v>291</v>
      </c>
      <c r="E5" s="37">
        <v>4166</v>
      </c>
      <c r="F5" s="17" t="s">
        <v>292</v>
      </c>
    </row>
    <row r="6" spans="1:6">
      <c r="A6" s="12" t="s">
        <v>51</v>
      </c>
      <c r="B6" s="11" t="s">
        <v>52</v>
      </c>
      <c r="C6" s="17" t="s">
        <v>293</v>
      </c>
      <c r="D6" s="17" t="s">
        <v>294</v>
      </c>
      <c r="E6" s="37">
        <v>2149</v>
      </c>
      <c r="F6" s="17" t="s">
        <v>295</v>
      </c>
    </row>
    <row r="7" spans="1:6">
      <c r="A7" s="12" t="s">
        <v>296</v>
      </c>
      <c r="B7" s="11" t="s">
        <v>297</v>
      </c>
      <c r="C7" s="17" t="s">
        <v>298</v>
      </c>
      <c r="D7" s="17" t="s">
        <v>299</v>
      </c>
      <c r="E7" s="37">
        <v>2786</v>
      </c>
      <c r="F7" s="17" t="s">
        <v>300</v>
      </c>
    </row>
    <row r="8" spans="1:6">
      <c r="A8" s="12" t="s">
        <v>301</v>
      </c>
      <c r="B8" s="11" t="s">
        <v>302</v>
      </c>
      <c r="C8" s="17" t="s">
        <v>303</v>
      </c>
      <c r="D8" s="17" t="s">
        <v>207</v>
      </c>
      <c r="E8" s="37">
        <v>368</v>
      </c>
      <c r="F8" s="17" t="s">
        <v>304</v>
      </c>
    </row>
    <row r="9" spans="1:6">
      <c r="A9" s="12" t="s">
        <v>53</v>
      </c>
      <c r="B9" s="11" t="s">
        <v>54</v>
      </c>
      <c r="C9" s="17" t="s">
        <v>305</v>
      </c>
      <c r="D9" s="17" t="s">
        <v>306</v>
      </c>
      <c r="E9" s="37">
        <v>11278</v>
      </c>
      <c r="F9" s="17" t="s">
        <v>307</v>
      </c>
    </row>
    <row r="10" spans="1:6">
      <c r="A10" s="12" t="s">
        <v>308</v>
      </c>
      <c r="B10" s="11" t="s">
        <v>309</v>
      </c>
      <c r="C10" s="17" t="s">
        <v>310</v>
      </c>
      <c r="D10" s="17" t="s">
        <v>311</v>
      </c>
      <c r="E10" s="37">
        <v>707</v>
      </c>
      <c r="F10" s="17" t="s">
        <v>312</v>
      </c>
    </row>
    <row r="11" spans="1:6">
      <c r="A11" s="12" t="s">
        <v>55</v>
      </c>
      <c r="B11" s="11" t="s">
        <v>56</v>
      </c>
      <c r="C11" s="17" t="s">
        <v>313</v>
      </c>
      <c r="D11" s="17" t="s">
        <v>314</v>
      </c>
      <c r="E11" s="37">
        <v>2909</v>
      </c>
      <c r="F11" s="17" t="s">
        <v>315</v>
      </c>
    </row>
    <row r="12" spans="1:6">
      <c r="A12" s="12" t="s">
        <v>57</v>
      </c>
      <c r="B12" s="11" t="s">
        <v>58</v>
      </c>
      <c r="C12" s="17" t="s">
        <v>316</v>
      </c>
      <c r="D12" s="17" t="s">
        <v>317</v>
      </c>
      <c r="E12" s="37">
        <v>1540</v>
      </c>
      <c r="F12" s="17" t="s">
        <v>318</v>
      </c>
    </row>
    <row r="13" spans="1:6">
      <c r="A13" s="12" t="s">
        <v>59</v>
      </c>
      <c r="B13" s="11" t="s">
        <v>60</v>
      </c>
      <c r="C13" s="17" t="s">
        <v>319</v>
      </c>
      <c r="D13" s="17" t="s">
        <v>320</v>
      </c>
      <c r="E13" s="37">
        <v>5176</v>
      </c>
      <c r="F13" s="17" t="s">
        <v>321</v>
      </c>
    </row>
    <row r="14" spans="1:6">
      <c r="A14" s="12" t="s">
        <v>61</v>
      </c>
      <c r="B14" s="11" t="s">
        <v>62</v>
      </c>
      <c r="C14" s="17" t="s">
        <v>322</v>
      </c>
      <c r="D14" s="17" t="s">
        <v>323</v>
      </c>
      <c r="E14" s="37">
        <v>5723</v>
      </c>
      <c r="F14" s="17" t="s">
        <v>324</v>
      </c>
    </row>
    <row r="15" spans="1:6">
      <c r="A15" s="12" t="s">
        <v>63</v>
      </c>
      <c r="B15" s="11" t="s">
        <v>64</v>
      </c>
      <c r="C15" s="17" t="s">
        <v>325</v>
      </c>
      <c r="D15" s="17" t="s">
        <v>326</v>
      </c>
      <c r="E15" s="37">
        <v>3101</v>
      </c>
      <c r="F15" s="17" t="s">
        <v>327</v>
      </c>
    </row>
    <row r="16" spans="1:6">
      <c r="A16" s="12" t="s">
        <v>328</v>
      </c>
      <c r="B16" s="11" t="s">
        <v>329</v>
      </c>
      <c r="C16" s="17" t="s">
        <v>330</v>
      </c>
      <c r="D16" s="17" t="s">
        <v>282</v>
      </c>
      <c r="E16" s="37">
        <v>970</v>
      </c>
      <c r="F16" s="17" t="s">
        <v>331</v>
      </c>
    </row>
    <row r="17" spans="1:6">
      <c r="A17" s="12" t="s">
        <v>65</v>
      </c>
      <c r="B17" s="11" t="s">
        <v>66</v>
      </c>
      <c r="C17" s="17" t="s">
        <v>332</v>
      </c>
      <c r="D17" s="17" t="s">
        <v>333</v>
      </c>
      <c r="E17" s="37">
        <v>18077</v>
      </c>
      <c r="F17" s="17" t="s">
        <v>334</v>
      </c>
    </row>
    <row r="18" spans="1:6">
      <c r="A18" s="12" t="s">
        <v>67</v>
      </c>
      <c r="B18" s="11" t="s">
        <v>68</v>
      </c>
      <c r="C18" s="17" t="s">
        <v>335</v>
      </c>
      <c r="D18" s="17" t="s">
        <v>336</v>
      </c>
      <c r="E18" s="37">
        <v>2728</v>
      </c>
      <c r="F18" s="17" t="s">
        <v>337</v>
      </c>
    </row>
    <row r="19" spans="1:6">
      <c r="A19" s="12" t="s">
        <v>69</v>
      </c>
      <c r="B19" s="11" t="s">
        <v>70</v>
      </c>
      <c r="C19" s="17" t="s">
        <v>338</v>
      </c>
      <c r="D19" s="17" t="s">
        <v>339</v>
      </c>
      <c r="E19" s="37">
        <v>3798</v>
      </c>
      <c r="F19" s="17" t="s">
        <v>340</v>
      </c>
    </row>
    <row r="20" spans="1:6">
      <c r="A20" s="12" t="s">
        <v>341</v>
      </c>
      <c r="B20" s="11" t="s">
        <v>342</v>
      </c>
      <c r="C20" s="17" t="s">
        <v>343</v>
      </c>
      <c r="D20" s="17" t="s">
        <v>344</v>
      </c>
      <c r="E20" s="37">
        <v>882</v>
      </c>
      <c r="F20" s="17" t="s">
        <v>345</v>
      </c>
    </row>
    <row r="21" spans="1:6">
      <c r="A21" s="12" t="s">
        <v>346</v>
      </c>
      <c r="B21" s="11" t="s">
        <v>347</v>
      </c>
      <c r="C21" s="17" t="s">
        <v>348</v>
      </c>
      <c r="D21" s="17" t="s">
        <v>349</v>
      </c>
      <c r="E21" s="37">
        <v>375</v>
      </c>
      <c r="F21" s="17" t="s">
        <v>350</v>
      </c>
    </row>
    <row r="22" spans="1:6">
      <c r="A22" s="12" t="s">
        <v>71</v>
      </c>
      <c r="B22" s="11" t="s">
        <v>72</v>
      </c>
      <c r="C22" s="17" t="s">
        <v>351</v>
      </c>
      <c r="D22" s="17" t="s">
        <v>352</v>
      </c>
      <c r="E22" s="37">
        <v>2059</v>
      </c>
      <c r="F22" s="17" t="s">
        <v>353</v>
      </c>
    </row>
    <row r="23" spans="1:6">
      <c r="A23" s="12" t="s">
        <v>73</v>
      </c>
      <c r="B23" s="11" t="s">
        <v>74</v>
      </c>
      <c r="C23" s="17" t="s">
        <v>354</v>
      </c>
      <c r="D23" s="17" t="s">
        <v>355</v>
      </c>
      <c r="E23" s="37">
        <v>4450</v>
      </c>
      <c r="F23" s="17" t="s">
        <v>356</v>
      </c>
    </row>
    <row r="24" spans="1:6">
      <c r="A24" s="12" t="s">
        <v>357</v>
      </c>
      <c r="B24" s="11" t="s">
        <v>358</v>
      </c>
      <c r="C24" s="17" t="s">
        <v>191</v>
      </c>
      <c r="D24" s="17" t="s">
        <v>183</v>
      </c>
      <c r="E24" s="37">
        <v>265</v>
      </c>
      <c r="F24" s="17" t="s">
        <v>359</v>
      </c>
    </row>
    <row r="25" spans="1:6">
      <c r="A25" s="12" t="s">
        <v>360</v>
      </c>
      <c r="B25" s="11" t="s">
        <v>361</v>
      </c>
      <c r="C25" s="17" t="s">
        <v>362</v>
      </c>
      <c r="D25" s="17" t="s">
        <v>363</v>
      </c>
      <c r="E25" s="37">
        <v>397</v>
      </c>
      <c r="F25" s="17" t="s">
        <v>364</v>
      </c>
    </row>
    <row r="26" spans="1:6">
      <c r="A26" s="12" t="s">
        <v>75</v>
      </c>
      <c r="B26" s="11" t="s">
        <v>76</v>
      </c>
      <c r="C26" s="17" t="s">
        <v>365</v>
      </c>
      <c r="D26" s="17" t="s">
        <v>366</v>
      </c>
      <c r="E26" s="37">
        <v>2550</v>
      </c>
      <c r="F26" s="17" t="s">
        <v>367</v>
      </c>
    </row>
    <row r="27" spans="1:6">
      <c r="A27" s="12" t="s">
        <v>77</v>
      </c>
      <c r="B27" s="11" t="s">
        <v>78</v>
      </c>
      <c r="C27" s="17" t="s">
        <v>368</v>
      </c>
      <c r="D27" s="17" t="s">
        <v>369</v>
      </c>
      <c r="E27" s="37">
        <v>9806</v>
      </c>
      <c r="F27" s="17" t="s">
        <v>370</v>
      </c>
    </row>
    <row r="28" spans="1:6">
      <c r="A28" s="12" t="s">
        <v>79</v>
      </c>
      <c r="B28" s="11" t="s">
        <v>80</v>
      </c>
      <c r="C28" s="17" t="s">
        <v>371</v>
      </c>
      <c r="D28" s="17" t="s">
        <v>372</v>
      </c>
      <c r="E28" s="37">
        <v>2361</v>
      </c>
      <c r="F28" s="17" t="s">
        <v>373</v>
      </c>
    </row>
    <row r="29" spans="1:6">
      <c r="A29" s="12" t="s">
        <v>374</v>
      </c>
      <c r="B29" s="11" t="s">
        <v>375</v>
      </c>
      <c r="C29" s="17" t="s">
        <v>376</v>
      </c>
      <c r="D29" s="17" t="s">
        <v>377</v>
      </c>
      <c r="E29" s="37">
        <v>781</v>
      </c>
      <c r="F29" s="17" t="s">
        <v>378</v>
      </c>
    </row>
    <row r="30" spans="1:6">
      <c r="A30" s="12" t="s">
        <v>81</v>
      </c>
      <c r="B30" s="11" t="s">
        <v>82</v>
      </c>
      <c r="C30" s="17" t="s">
        <v>379</v>
      </c>
      <c r="D30" s="17" t="s">
        <v>380</v>
      </c>
      <c r="E30" s="37">
        <v>1779</v>
      </c>
      <c r="F30" s="17" t="s">
        <v>381</v>
      </c>
    </row>
    <row r="31" spans="1:6">
      <c r="A31" s="12" t="s">
        <v>83</v>
      </c>
      <c r="B31" s="11" t="s">
        <v>84</v>
      </c>
      <c r="C31" s="17" t="s">
        <v>382</v>
      </c>
      <c r="D31" s="17" t="s">
        <v>383</v>
      </c>
      <c r="E31" s="37">
        <v>40107</v>
      </c>
      <c r="F31" s="17" t="s">
        <v>384</v>
      </c>
    </row>
    <row r="32" spans="1:6">
      <c r="A32" s="12" t="s">
        <v>385</v>
      </c>
      <c r="B32" s="11" t="s">
        <v>386</v>
      </c>
      <c r="C32" s="17" t="s">
        <v>387</v>
      </c>
      <c r="D32" s="17" t="s">
        <v>388</v>
      </c>
      <c r="E32" s="37">
        <v>857</v>
      </c>
      <c r="F32" s="17" t="s">
        <v>389</v>
      </c>
    </row>
    <row r="33" spans="1:6">
      <c r="A33" s="12" t="s">
        <v>85</v>
      </c>
      <c r="B33" s="11" t="s">
        <v>86</v>
      </c>
      <c r="C33" s="17" t="s">
        <v>390</v>
      </c>
      <c r="D33" s="17" t="s">
        <v>391</v>
      </c>
      <c r="E33" s="37">
        <v>423</v>
      </c>
      <c r="F33" s="17" t="s">
        <v>392</v>
      </c>
    </row>
    <row r="34" spans="1:6">
      <c r="A34" s="12" t="s">
        <v>87</v>
      </c>
      <c r="B34" s="11" t="s">
        <v>88</v>
      </c>
      <c r="C34" s="17" t="s">
        <v>393</v>
      </c>
      <c r="D34" s="17" t="s">
        <v>380</v>
      </c>
      <c r="E34" s="37">
        <v>2118</v>
      </c>
      <c r="F34" s="17" t="s">
        <v>394</v>
      </c>
    </row>
    <row r="35" spans="1:6">
      <c r="A35" s="12" t="s">
        <v>395</v>
      </c>
      <c r="B35" s="11" t="s">
        <v>396</v>
      </c>
      <c r="C35" s="17" t="s">
        <v>397</v>
      </c>
      <c r="D35" s="17" t="s">
        <v>398</v>
      </c>
      <c r="E35" s="37">
        <v>3737</v>
      </c>
      <c r="F35" s="17" t="s">
        <v>399</v>
      </c>
    </row>
    <row r="36" spans="1:6">
      <c r="A36" s="12" t="s">
        <v>89</v>
      </c>
      <c r="B36" s="11" t="s">
        <v>90</v>
      </c>
      <c r="C36" s="17" t="s">
        <v>400</v>
      </c>
      <c r="D36" s="17" t="s">
        <v>401</v>
      </c>
      <c r="E36" s="37">
        <v>619</v>
      </c>
      <c r="F36" s="17" t="s">
        <v>402</v>
      </c>
    </row>
    <row r="37" spans="1:6">
      <c r="A37" s="12" t="s">
        <v>91</v>
      </c>
      <c r="B37" s="11" t="s">
        <v>92</v>
      </c>
      <c r="C37" s="17" t="s">
        <v>403</v>
      </c>
      <c r="D37" s="17" t="s">
        <v>404</v>
      </c>
      <c r="E37" s="37">
        <v>2145</v>
      </c>
      <c r="F37" s="17" t="s">
        <v>405</v>
      </c>
    </row>
    <row r="38" spans="1:6">
      <c r="A38" s="12" t="s">
        <v>93</v>
      </c>
      <c r="B38" s="11" t="s">
        <v>94</v>
      </c>
      <c r="C38" s="17" t="s">
        <v>406</v>
      </c>
      <c r="D38" s="17" t="s">
        <v>407</v>
      </c>
      <c r="E38" s="37">
        <v>1977</v>
      </c>
      <c r="F38" s="17" t="s">
        <v>408</v>
      </c>
    </row>
    <row r="39" spans="1:6">
      <c r="A39" s="12" t="s">
        <v>95</v>
      </c>
      <c r="B39" s="11" t="s">
        <v>96</v>
      </c>
      <c r="C39" s="17" t="s">
        <v>409</v>
      </c>
      <c r="D39" s="17" t="s">
        <v>410</v>
      </c>
      <c r="E39" s="37">
        <v>2473</v>
      </c>
      <c r="F39" s="17" t="s">
        <v>411</v>
      </c>
    </row>
    <row r="40" spans="1:6">
      <c r="A40" s="12" t="s">
        <v>412</v>
      </c>
      <c r="B40" s="11" t="s">
        <v>413</v>
      </c>
      <c r="C40" s="17" t="s">
        <v>414</v>
      </c>
      <c r="D40" s="17" t="s">
        <v>415</v>
      </c>
      <c r="E40" s="37">
        <v>569</v>
      </c>
      <c r="F40" s="17" t="s">
        <v>416</v>
      </c>
    </row>
    <row r="41" spans="1:6">
      <c r="A41" s="12" t="s">
        <v>97</v>
      </c>
      <c r="B41" s="11" t="s">
        <v>98</v>
      </c>
      <c r="C41" s="17" t="s">
        <v>417</v>
      </c>
      <c r="D41" s="17" t="s">
        <v>418</v>
      </c>
      <c r="E41" s="37">
        <v>9</v>
      </c>
      <c r="F41" s="17" t="s">
        <v>419</v>
      </c>
    </row>
    <row r="42" spans="1:6">
      <c r="A42" s="12" t="s">
        <v>99</v>
      </c>
      <c r="B42" s="11" t="s">
        <v>100</v>
      </c>
      <c r="C42" s="17" t="s">
        <v>420</v>
      </c>
      <c r="D42" s="17" t="s">
        <v>421</v>
      </c>
      <c r="E42" s="37">
        <v>1693</v>
      </c>
      <c r="F42" s="17" t="s">
        <v>422</v>
      </c>
    </row>
    <row r="43" spans="1:6">
      <c r="A43" s="12" t="s">
        <v>423</v>
      </c>
      <c r="B43" s="11" t="s">
        <v>424</v>
      </c>
      <c r="C43" s="17" t="s">
        <v>425</v>
      </c>
      <c r="D43" s="17" t="s">
        <v>426</v>
      </c>
      <c r="E43" s="37">
        <v>2602</v>
      </c>
      <c r="F43" s="17" t="s">
        <v>427</v>
      </c>
    </row>
    <row r="44" spans="1:6">
      <c r="A44" s="12" t="s">
        <v>101</v>
      </c>
      <c r="B44" s="11" t="s">
        <v>102</v>
      </c>
      <c r="C44" s="17" t="s">
        <v>428</v>
      </c>
      <c r="D44" s="17" t="s">
        <v>429</v>
      </c>
      <c r="E44" s="37">
        <v>3948</v>
      </c>
      <c r="F44" s="17" t="s">
        <v>430</v>
      </c>
    </row>
    <row r="45" spans="1:6">
      <c r="A45" s="12" t="s">
        <v>431</v>
      </c>
      <c r="B45" s="11" t="s">
        <v>432</v>
      </c>
      <c r="C45" s="17" t="s">
        <v>433</v>
      </c>
      <c r="D45" s="17" t="s">
        <v>434</v>
      </c>
      <c r="E45" s="37">
        <v>2586</v>
      </c>
      <c r="F45" s="17" t="s">
        <v>435</v>
      </c>
    </row>
    <row r="46" spans="1:6">
      <c r="A46" s="12" t="s">
        <v>436</v>
      </c>
      <c r="B46" s="11" t="s">
        <v>437</v>
      </c>
      <c r="C46" s="17" t="s">
        <v>438</v>
      </c>
      <c r="D46" s="17" t="s">
        <v>439</v>
      </c>
      <c r="E46" s="37">
        <v>1119</v>
      </c>
      <c r="F46" s="17" t="s">
        <v>440</v>
      </c>
    </row>
    <row r="47" spans="1:6">
      <c r="A47" s="12" t="s">
        <v>441</v>
      </c>
      <c r="B47" s="11" t="s">
        <v>442</v>
      </c>
      <c r="C47" s="17" t="s">
        <v>443</v>
      </c>
      <c r="D47" s="17" t="s">
        <v>444</v>
      </c>
      <c r="E47" s="37">
        <v>475</v>
      </c>
      <c r="F47" s="17" t="s">
        <v>445</v>
      </c>
    </row>
    <row r="48" spans="1:6">
      <c r="A48" s="12" t="s">
        <v>103</v>
      </c>
      <c r="B48" s="11" t="s">
        <v>104</v>
      </c>
      <c r="C48" s="17" t="s">
        <v>446</v>
      </c>
      <c r="D48" s="17" t="s">
        <v>447</v>
      </c>
      <c r="E48" s="37">
        <v>177</v>
      </c>
      <c r="F48" s="17" t="s">
        <v>448</v>
      </c>
    </row>
    <row r="49" spans="1:6">
      <c r="A49" s="12" t="s">
        <v>105</v>
      </c>
      <c r="B49" s="11" t="s">
        <v>106</v>
      </c>
      <c r="C49" s="17" t="s">
        <v>449</v>
      </c>
      <c r="D49" s="17" t="s">
        <v>450</v>
      </c>
      <c r="E49" s="37">
        <v>5598</v>
      </c>
      <c r="F49" s="17" t="s">
        <v>451</v>
      </c>
    </row>
    <row r="50" spans="1:6">
      <c r="A50" s="12" t="s">
        <v>107</v>
      </c>
      <c r="B50" s="11" t="s">
        <v>108</v>
      </c>
      <c r="C50" s="17" t="s">
        <v>452</v>
      </c>
      <c r="D50" s="17" t="s">
        <v>453</v>
      </c>
      <c r="E50" s="37">
        <v>716</v>
      </c>
      <c r="F50" s="17" t="s">
        <v>454</v>
      </c>
    </row>
    <row r="51" spans="1:6">
      <c r="A51" s="12" t="s">
        <v>109</v>
      </c>
      <c r="B51" s="11" t="s">
        <v>110</v>
      </c>
      <c r="C51" s="17" t="s">
        <v>455</v>
      </c>
      <c r="D51" s="17" t="s">
        <v>456</v>
      </c>
      <c r="E51" s="37">
        <v>1055</v>
      </c>
      <c r="F51" s="17" t="s">
        <v>457</v>
      </c>
    </row>
    <row r="52" spans="1:6">
      <c r="A52" s="12" t="s">
        <v>111</v>
      </c>
      <c r="B52" s="11" t="s">
        <v>112</v>
      </c>
      <c r="C52" s="17" t="s">
        <v>458</v>
      </c>
      <c r="D52" s="17" t="s">
        <v>459</v>
      </c>
      <c r="E52" s="37">
        <v>18</v>
      </c>
      <c r="F52" s="17" t="s">
        <v>460</v>
      </c>
    </row>
    <row r="53" spans="1:6">
      <c r="A53" s="12" t="s">
        <v>113</v>
      </c>
      <c r="B53" s="11" t="s">
        <v>114</v>
      </c>
      <c r="C53" s="17" t="s">
        <v>461</v>
      </c>
      <c r="D53" s="17" t="s">
        <v>462</v>
      </c>
      <c r="E53" s="37">
        <v>1064</v>
      </c>
      <c r="F53" s="17" t="s">
        <v>463</v>
      </c>
    </row>
    <row r="54" spans="1:6">
      <c r="A54" s="12" t="s">
        <v>115</v>
      </c>
      <c r="B54" s="11" t="s">
        <v>116</v>
      </c>
      <c r="C54" s="17" t="s">
        <v>464</v>
      </c>
      <c r="D54" s="17" t="s">
        <v>465</v>
      </c>
      <c r="E54" s="37">
        <v>7521</v>
      </c>
      <c r="F54" s="17" t="s">
        <v>466</v>
      </c>
    </row>
    <row r="55" spans="1:6">
      <c r="A55" s="12" t="s">
        <v>117</v>
      </c>
      <c r="B55" s="11" t="s">
        <v>118</v>
      </c>
      <c r="C55" s="17" t="s">
        <v>467</v>
      </c>
      <c r="D55" s="17" t="s">
        <v>468</v>
      </c>
      <c r="E55" s="37">
        <v>11368</v>
      </c>
      <c r="F55" s="17" t="s">
        <v>469</v>
      </c>
    </row>
    <row r="56" spans="1:6">
      <c r="A56" s="12" t="s">
        <v>119</v>
      </c>
      <c r="B56" s="11" t="s">
        <v>120</v>
      </c>
      <c r="C56" s="17" t="s">
        <v>470</v>
      </c>
      <c r="D56" s="17" t="s">
        <v>471</v>
      </c>
      <c r="E56" s="37">
        <v>1354</v>
      </c>
      <c r="F56" s="17" t="s">
        <v>472</v>
      </c>
    </row>
    <row r="57" spans="1:6">
      <c r="A57" s="12" t="s">
        <v>121</v>
      </c>
      <c r="B57" s="11" t="s">
        <v>122</v>
      </c>
      <c r="C57" s="17" t="s">
        <v>207</v>
      </c>
      <c r="D57" s="17" t="s">
        <v>281</v>
      </c>
      <c r="E57" s="37">
        <v>293</v>
      </c>
      <c r="F57" s="17" t="s">
        <v>473</v>
      </c>
    </row>
    <row r="58" spans="1:6">
      <c r="A58" s="12" t="s">
        <v>123</v>
      </c>
      <c r="B58" s="11" t="s">
        <v>124</v>
      </c>
      <c r="C58" s="17" t="s">
        <v>474</v>
      </c>
      <c r="D58" s="17" t="s">
        <v>475</v>
      </c>
      <c r="E58" s="37">
        <v>7226</v>
      </c>
      <c r="F58" s="17" t="s">
        <v>476</v>
      </c>
    </row>
    <row r="59" spans="1:6">
      <c r="A59" s="12" t="s">
        <v>125</v>
      </c>
      <c r="B59" s="11" t="s">
        <v>126</v>
      </c>
      <c r="C59" s="17" t="s">
        <v>477</v>
      </c>
      <c r="D59" s="17" t="s">
        <v>478</v>
      </c>
      <c r="E59" s="37">
        <v>6786</v>
      </c>
      <c r="F59" s="17" t="s">
        <v>479</v>
      </c>
    </row>
    <row r="60" spans="1:6">
      <c r="A60" s="12" t="s">
        <v>127</v>
      </c>
      <c r="B60" s="11" t="s">
        <v>128</v>
      </c>
      <c r="C60" s="17" t="s">
        <v>480</v>
      </c>
      <c r="D60" s="17" t="s">
        <v>481</v>
      </c>
      <c r="E60" s="37">
        <v>3127</v>
      </c>
      <c r="F60" s="17" t="s">
        <v>482</v>
      </c>
    </row>
    <row r="61" spans="1:6">
      <c r="A61" s="12" t="s">
        <v>483</v>
      </c>
      <c r="B61" s="11" t="s">
        <v>484</v>
      </c>
      <c r="C61" s="17" t="s">
        <v>485</v>
      </c>
      <c r="D61" s="17" t="s">
        <v>486</v>
      </c>
      <c r="E61" s="37">
        <v>1582</v>
      </c>
      <c r="F61" s="17" t="s">
        <v>487</v>
      </c>
    </row>
    <row r="62" spans="1:6">
      <c r="A62" s="12" t="s">
        <v>129</v>
      </c>
      <c r="B62" s="11" t="s">
        <v>130</v>
      </c>
      <c r="C62" s="17" t="s">
        <v>488</v>
      </c>
      <c r="D62" s="17" t="s">
        <v>489</v>
      </c>
      <c r="E62" s="37">
        <v>532</v>
      </c>
      <c r="F62" s="17" t="s">
        <v>490</v>
      </c>
    </row>
    <row r="63" spans="1:6">
      <c r="A63" s="12" t="s">
        <v>491</v>
      </c>
      <c r="B63" s="11" t="s">
        <v>492</v>
      </c>
      <c r="C63" s="17" t="s">
        <v>55</v>
      </c>
      <c r="D63" s="17" t="s">
        <v>493</v>
      </c>
      <c r="E63" s="37">
        <v>68</v>
      </c>
      <c r="F63" s="17" t="s">
        <v>135</v>
      </c>
    </row>
    <row r="64" spans="1:6">
      <c r="A64" s="12" t="s">
        <v>131</v>
      </c>
      <c r="B64" s="11" t="s">
        <v>132</v>
      </c>
      <c r="C64" s="17" t="s">
        <v>494</v>
      </c>
      <c r="D64" s="17" t="s">
        <v>495</v>
      </c>
      <c r="E64" s="37">
        <v>857</v>
      </c>
      <c r="F64" s="17" t="s">
        <v>496</v>
      </c>
    </row>
    <row r="65" spans="1:6">
      <c r="A65" s="12" t="s">
        <v>497</v>
      </c>
      <c r="B65" s="11" t="s">
        <v>498</v>
      </c>
      <c r="C65" s="17" t="s">
        <v>499</v>
      </c>
      <c r="D65" s="17" t="s">
        <v>69</v>
      </c>
      <c r="E65" s="37">
        <v>92</v>
      </c>
      <c r="F65" s="17" t="s">
        <v>500</v>
      </c>
    </row>
    <row r="66" spans="1:6">
      <c r="A66" s="12" t="s">
        <v>133</v>
      </c>
      <c r="B66" s="11" t="s">
        <v>134</v>
      </c>
      <c r="C66" s="17" t="s">
        <v>501</v>
      </c>
      <c r="D66" s="17" t="s">
        <v>502</v>
      </c>
      <c r="E66" s="37">
        <v>6096</v>
      </c>
      <c r="F66" s="17" t="s">
        <v>503</v>
      </c>
    </row>
    <row r="67" spans="1:6">
      <c r="A67" s="12" t="s">
        <v>135</v>
      </c>
      <c r="B67" s="11" t="s">
        <v>136</v>
      </c>
      <c r="C67" s="17" t="s">
        <v>504</v>
      </c>
      <c r="D67" s="17" t="s">
        <v>505</v>
      </c>
      <c r="E67" s="37">
        <v>309</v>
      </c>
      <c r="F67" s="17" t="s">
        <v>506</v>
      </c>
    </row>
    <row r="68" spans="1:6">
      <c r="A68" s="12" t="s">
        <v>507</v>
      </c>
      <c r="B68" s="11" t="s">
        <v>508</v>
      </c>
      <c r="C68" s="17" t="s">
        <v>509</v>
      </c>
      <c r="D68" s="17" t="s">
        <v>510</v>
      </c>
      <c r="E68" s="37">
        <v>1691</v>
      </c>
      <c r="F68" s="17" t="s">
        <v>511</v>
      </c>
    </row>
    <row r="69" spans="1:6">
      <c r="A69" s="12" t="s">
        <v>137</v>
      </c>
      <c r="B69" s="11" t="s">
        <v>138</v>
      </c>
      <c r="C69" s="17" t="s">
        <v>512</v>
      </c>
      <c r="D69" s="17" t="s">
        <v>513</v>
      </c>
      <c r="E69" s="37">
        <v>688</v>
      </c>
      <c r="F69" s="17" t="s">
        <v>514</v>
      </c>
    </row>
    <row r="70" spans="1:6">
      <c r="A70" s="12" t="s">
        <v>141</v>
      </c>
      <c r="B70" s="11" t="s">
        <v>142</v>
      </c>
      <c r="C70" s="17" t="s">
        <v>515</v>
      </c>
      <c r="D70" s="17" t="s">
        <v>516</v>
      </c>
      <c r="E70" s="37">
        <v>3053</v>
      </c>
      <c r="F70" s="17" t="s">
        <v>517</v>
      </c>
    </row>
    <row r="71" spans="1:6">
      <c r="A71" s="12" t="s">
        <v>143</v>
      </c>
      <c r="B71" s="11" t="s">
        <v>144</v>
      </c>
      <c r="C71" s="17" t="s">
        <v>518</v>
      </c>
      <c r="D71" s="17" t="s">
        <v>519</v>
      </c>
      <c r="E71" s="37">
        <v>141</v>
      </c>
      <c r="F71" s="17" t="s">
        <v>520</v>
      </c>
    </row>
    <row r="72" spans="1:6">
      <c r="A72" s="12" t="s">
        <v>145</v>
      </c>
      <c r="B72" s="11" t="s">
        <v>146</v>
      </c>
      <c r="C72" s="17" t="s">
        <v>521</v>
      </c>
      <c r="D72" s="17" t="s">
        <v>522</v>
      </c>
      <c r="E72" s="37">
        <v>1056</v>
      </c>
      <c r="F72" s="17" t="s">
        <v>523</v>
      </c>
    </row>
    <row r="73" spans="1:6">
      <c r="A73" s="12" t="s">
        <v>147</v>
      </c>
      <c r="B73" s="11" t="s">
        <v>148</v>
      </c>
      <c r="C73" s="17" t="s">
        <v>65</v>
      </c>
      <c r="D73" s="17" t="s">
        <v>524</v>
      </c>
      <c r="E73" s="37">
        <v>132</v>
      </c>
      <c r="F73" s="17" t="s">
        <v>525</v>
      </c>
    </row>
    <row r="74" spans="1:6">
      <c r="A74" s="12" t="s">
        <v>149</v>
      </c>
      <c r="B74" s="11" t="s">
        <v>150</v>
      </c>
      <c r="C74" s="17" t="s">
        <v>526</v>
      </c>
      <c r="D74" s="17" t="s">
        <v>527</v>
      </c>
      <c r="E74" s="37">
        <v>397</v>
      </c>
      <c r="F74" s="17" t="s">
        <v>528</v>
      </c>
    </row>
    <row r="75" spans="1:6">
      <c r="A75" s="12" t="s">
        <v>151</v>
      </c>
      <c r="B75" s="11" t="s">
        <v>529</v>
      </c>
      <c r="C75" s="17" t="s">
        <v>530</v>
      </c>
      <c r="D75" s="17" t="s">
        <v>531</v>
      </c>
      <c r="E75" s="37">
        <v>158</v>
      </c>
      <c r="F75" s="17" t="s">
        <v>532</v>
      </c>
    </row>
    <row r="76" spans="1:6">
      <c r="A76" s="12" t="s">
        <v>153</v>
      </c>
      <c r="B76" s="11" t="s">
        <v>154</v>
      </c>
      <c r="C76" s="17" t="s">
        <v>533</v>
      </c>
      <c r="D76" s="17" t="s">
        <v>534</v>
      </c>
      <c r="E76" s="37">
        <v>19</v>
      </c>
      <c r="F76" s="17" t="s">
        <v>535</v>
      </c>
    </row>
    <row r="77" spans="1:6">
      <c r="A77" s="12" t="s">
        <v>155</v>
      </c>
      <c r="B77" s="11" t="s">
        <v>156</v>
      </c>
      <c r="C77" s="17" t="s">
        <v>536</v>
      </c>
      <c r="D77" s="17" t="s">
        <v>417</v>
      </c>
      <c r="E77" s="37">
        <v>3</v>
      </c>
      <c r="F77" s="17" t="s">
        <v>537</v>
      </c>
    </row>
    <row r="78" spans="1:6">
      <c r="A78" s="12" t="s">
        <v>157</v>
      </c>
      <c r="B78" s="11" t="s">
        <v>158</v>
      </c>
      <c r="C78" s="17" t="s">
        <v>538</v>
      </c>
      <c r="D78" s="17" t="s">
        <v>539</v>
      </c>
      <c r="E78" s="37">
        <v>6</v>
      </c>
      <c r="F78" s="17" t="s">
        <v>540</v>
      </c>
    </row>
    <row r="79" spans="1:6">
      <c r="A79" s="12" t="s">
        <v>159</v>
      </c>
      <c r="B79" s="11" t="s">
        <v>160</v>
      </c>
      <c r="C79" s="17" t="s">
        <v>541</v>
      </c>
      <c r="D79" s="17" t="s">
        <v>494</v>
      </c>
      <c r="E79" s="37">
        <v>434</v>
      </c>
      <c r="F79" s="17" t="s">
        <v>542</v>
      </c>
    </row>
    <row r="80" spans="1:6">
      <c r="A80" s="12" t="s">
        <v>161</v>
      </c>
      <c r="B80" s="11" t="s">
        <v>162</v>
      </c>
      <c r="C80" s="17" t="s">
        <v>543</v>
      </c>
      <c r="D80" s="17" t="s">
        <v>544</v>
      </c>
      <c r="E80" s="37">
        <v>0</v>
      </c>
      <c r="F80" s="17" t="s">
        <v>543</v>
      </c>
    </row>
    <row r="81" spans="1:6">
      <c r="A81" s="12" t="s">
        <v>163</v>
      </c>
      <c r="B81" s="11" t="s">
        <v>164</v>
      </c>
      <c r="C81" s="17" t="s">
        <v>545</v>
      </c>
      <c r="D81" s="17" t="s">
        <v>546</v>
      </c>
      <c r="E81" s="37">
        <v>352</v>
      </c>
      <c r="F81" s="17" t="s">
        <v>547</v>
      </c>
    </row>
    <row r="82" spans="1:6">
      <c r="A82" s="12" t="s">
        <v>165</v>
      </c>
      <c r="B82" s="11" t="s">
        <v>166</v>
      </c>
      <c r="C82" s="17" t="s">
        <v>548</v>
      </c>
      <c r="D82" s="17" t="s">
        <v>549</v>
      </c>
      <c r="E82" s="37">
        <v>455</v>
      </c>
      <c r="F82" s="17" t="s">
        <v>550</v>
      </c>
    </row>
    <row r="83" spans="1:6">
      <c r="A83" s="12" t="s">
        <v>167</v>
      </c>
      <c r="B83" s="11" t="s">
        <v>168</v>
      </c>
      <c r="C83" s="17" t="s">
        <v>551</v>
      </c>
      <c r="D83" s="17" t="s">
        <v>552</v>
      </c>
      <c r="E83" s="37">
        <v>4527</v>
      </c>
      <c r="F83" s="17" t="s">
        <v>553</v>
      </c>
    </row>
    <row r="84" spans="1:6">
      <c r="A84" s="12" t="s">
        <v>169</v>
      </c>
      <c r="B84" s="11" t="s">
        <v>170</v>
      </c>
      <c r="C84" s="17" t="s">
        <v>554</v>
      </c>
      <c r="D84" s="17" t="s">
        <v>555</v>
      </c>
      <c r="E84" s="37">
        <v>545</v>
      </c>
      <c r="F84" s="17" t="s">
        <v>556</v>
      </c>
    </row>
    <row r="85" spans="1:6">
      <c r="A85" s="12" t="s">
        <v>171</v>
      </c>
      <c r="B85" s="11" t="s">
        <v>172</v>
      </c>
      <c r="C85" s="17" t="s">
        <v>473</v>
      </c>
      <c r="D85" s="17" t="s">
        <v>557</v>
      </c>
      <c r="E85" s="37">
        <v>558</v>
      </c>
      <c r="F85" s="17" t="s">
        <v>558</v>
      </c>
    </row>
    <row r="86" spans="1:6">
      <c r="A86" s="12" t="s">
        <v>173</v>
      </c>
      <c r="B86" s="11" t="s">
        <v>174</v>
      </c>
      <c r="C86" s="17" t="s">
        <v>559</v>
      </c>
      <c r="D86" s="17" t="s">
        <v>560</v>
      </c>
      <c r="E86" s="37">
        <v>427</v>
      </c>
      <c r="F86" s="17" t="s">
        <v>561</v>
      </c>
    </row>
    <row r="87" spans="1:6">
      <c r="A87" s="12" t="s">
        <v>175</v>
      </c>
      <c r="B87" s="11" t="s">
        <v>176</v>
      </c>
      <c r="C87" s="17" t="s">
        <v>562</v>
      </c>
      <c r="D87" s="17" t="s">
        <v>563</v>
      </c>
      <c r="E87" s="37">
        <v>260</v>
      </c>
      <c r="F87" s="17" t="s">
        <v>564</v>
      </c>
    </row>
    <row r="88" spans="1:6">
      <c r="A88" s="12" t="s">
        <v>177</v>
      </c>
      <c r="B88" s="11" t="s">
        <v>178</v>
      </c>
      <c r="C88" s="17" t="s">
        <v>565</v>
      </c>
      <c r="D88" s="17" t="s">
        <v>57</v>
      </c>
      <c r="E88" s="37">
        <v>116</v>
      </c>
      <c r="F88" s="17" t="s">
        <v>566</v>
      </c>
    </row>
    <row r="89" spans="1:6">
      <c r="A89" s="12" t="s">
        <v>179</v>
      </c>
      <c r="B89" s="11" t="s">
        <v>180</v>
      </c>
      <c r="C89" s="17" t="s">
        <v>567</v>
      </c>
      <c r="D89" s="17" t="s">
        <v>568</v>
      </c>
      <c r="E89" s="37">
        <v>566</v>
      </c>
      <c r="F89" s="17" t="s">
        <v>569</v>
      </c>
    </row>
    <row r="90" spans="1:6">
      <c r="A90" s="12" t="s">
        <v>181</v>
      </c>
      <c r="B90" s="11" t="s">
        <v>182</v>
      </c>
      <c r="C90" s="17" t="s">
        <v>570</v>
      </c>
      <c r="D90" s="17" t="s">
        <v>570</v>
      </c>
      <c r="E90" s="37">
        <v>319</v>
      </c>
      <c r="F90" s="17" t="s">
        <v>571</v>
      </c>
    </row>
    <row r="91" spans="1:6">
      <c r="A91" s="12" t="s">
        <v>183</v>
      </c>
      <c r="B91" s="11" t="s">
        <v>184</v>
      </c>
      <c r="C91" s="17" t="s">
        <v>572</v>
      </c>
      <c r="D91" s="17" t="s">
        <v>143</v>
      </c>
      <c r="E91" s="37">
        <v>0</v>
      </c>
      <c r="F91" s="17" t="s">
        <v>573</v>
      </c>
    </row>
    <row r="92" spans="1:6">
      <c r="A92" s="12" t="s">
        <v>187</v>
      </c>
      <c r="B92" s="11" t="s">
        <v>188</v>
      </c>
      <c r="C92" s="17" t="s">
        <v>574</v>
      </c>
      <c r="D92" s="17" t="s">
        <v>575</v>
      </c>
      <c r="E92" s="37">
        <v>662</v>
      </c>
      <c r="F92" s="17" t="s">
        <v>576</v>
      </c>
    </row>
    <row r="93" spans="1:6">
      <c r="A93" s="12" t="s">
        <v>189</v>
      </c>
      <c r="B93" s="11" t="s">
        <v>190</v>
      </c>
      <c r="C93" s="17" t="s">
        <v>123</v>
      </c>
      <c r="D93" s="17" t="s">
        <v>123</v>
      </c>
      <c r="E93" s="37">
        <v>271</v>
      </c>
      <c r="F93" s="17" t="s">
        <v>577</v>
      </c>
    </row>
    <row r="94" spans="1:6">
      <c r="A94" s="12" t="s">
        <v>578</v>
      </c>
      <c r="B94" s="11" t="s">
        <v>579</v>
      </c>
      <c r="C94" s="17" t="s">
        <v>580</v>
      </c>
      <c r="D94" s="17" t="s">
        <v>581</v>
      </c>
      <c r="E94" s="37">
        <v>437</v>
      </c>
      <c r="F94" s="17" t="s">
        <v>582</v>
      </c>
    </row>
    <row r="95" spans="1:6">
      <c r="A95" s="12" t="s">
        <v>191</v>
      </c>
      <c r="B95" s="11" t="s">
        <v>192</v>
      </c>
      <c r="C95" s="17" t="s">
        <v>583</v>
      </c>
      <c r="D95" s="17" t="s">
        <v>135</v>
      </c>
      <c r="E95" s="37">
        <v>281</v>
      </c>
      <c r="F95" s="17" t="s">
        <v>584</v>
      </c>
    </row>
    <row r="96" spans="1:6">
      <c r="A96" s="12" t="s">
        <v>193</v>
      </c>
      <c r="B96" s="11" t="s">
        <v>194</v>
      </c>
      <c r="C96" s="17" t="s">
        <v>544</v>
      </c>
      <c r="D96" s="17" t="s">
        <v>544</v>
      </c>
      <c r="E96" s="37">
        <v>6</v>
      </c>
      <c r="F96" s="17" t="s">
        <v>536</v>
      </c>
    </row>
    <row r="97" spans="1:6">
      <c r="A97" s="12" t="s">
        <v>195</v>
      </c>
      <c r="B97" s="11" t="s">
        <v>196</v>
      </c>
      <c r="C97" s="17" t="s">
        <v>585</v>
      </c>
      <c r="D97" s="17" t="s">
        <v>586</v>
      </c>
      <c r="E97" s="37">
        <v>114</v>
      </c>
      <c r="F97" s="17" t="s">
        <v>587</v>
      </c>
    </row>
    <row r="98" spans="1:6">
      <c r="A98" s="12" t="s">
        <v>197</v>
      </c>
      <c r="B98" s="11" t="s">
        <v>198</v>
      </c>
      <c r="C98" s="17" t="s">
        <v>588</v>
      </c>
      <c r="D98" s="17" t="s">
        <v>589</v>
      </c>
      <c r="E98" s="37">
        <v>7960</v>
      </c>
      <c r="F98" s="17" t="s">
        <v>590</v>
      </c>
    </row>
    <row r="99" spans="1:6">
      <c r="A99" s="12" t="s">
        <v>591</v>
      </c>
      <c r="B99" s="11" t="s">
        <v>592</v>
      </c>
      <c r="C99" s="17" t="s">
        <v>328</v>
      </c>
      <c r="D99" s="17" t="s">
        <v>53</v>
      </c>
      <c r="E99" s="37">
        <v>90</v>
      </c>
      <c r="F99" s="17" t="s">
        <v>593</v>
      </c>
    </row>
    <row r="100" spans="1:6">
      <c r="A100" s="12" t="s">
        <v>199</v>
      </c>
      <c r="B100" s="11" t="s">
        <v>200</v>
      </c>
      <c r="C100" s="17" t="s">
        <v>594</v>
      </c>
      <c r="D100" s="17" t="s">
        <v>538</v>
      </c>
      <c r="E100" s="37">
        <v>1</v>
      </c>
      <c r="F100" s="17" t="s">
        <v>417</v>
      </c>
    </row>
    <row r="101" spans="1:6">
      <c r="A101" s="12" t="s">
        <v>201</v>
      </c>
      <c r="B101" s="11" t="s">
        <v>202</v>
      </c>
      <c r="C101" s="17" t="s">
        <v>595</v>
      </c>
      <c r="D101" s="17" t="s">
        <v>596</v>
      </c>
      <c r="E101" s="37">
        <v>63</v>
      </c>
      <c r="F101" s="17" t="s">
        <v>99</v>
      </c>
    </row>
    <row r="102" spans="1:6">
      <c r="A102" s="12" t="s">
        <v>203</v>
      </c>
      <c r="B102" s="11" t="s">
        <v>204</v>
      </c>
      <c r="C102" s="17" t="s">
        <v>597</v>
      </c>
      <c r="D102" s="17" t="s">
        <v>597</v>
      </c>
      <c r="E102" s="37">
        <v>56</v>
      </c>
      <c r="F102" s="17" t="s">
        <v>598</v>
      </c>
    </row>
    <row r="103" spans="1:6">
      <c r="A103" s="12" t="s">
        <v>205</v>
      </c>
      <c r="B103" s="11" t="s">
        <v>206</v>
      </c>
      <c r="C103" s="17" t="s">
        <v>599</v>
      </c>
      <c r="D103" s="17" t="s">
        <v>600</v>
      </c>
      <c r="E103" s="37">
        <v>1110</v>
      </c>
      <c r="F103" s="17" t="s">
        <v>601</v>
      </c>
    </row>
    <row r="104" spans="1:6">
      <c r="A104" s="12" t="s">
        <v>207</v>
      </c>
      <c r="B104" s="11" t="s">
        <v>208</v>
      </c>
      <c r="C104" s="17" t="s">
        <v>602</v>
      </c>
      <c r="D104" s="17" t="s">
        <v>603</v>
      </c>
      <c r="E104" s="37">
        <v>1891</v>
      </c>
      <c r="F104" s="17" t="s">
        <v>604</v>
      </c>
    </row>
    <row r="105" spans="1:6">
      <c r="A105" s="12" t="s">
        <v>605</v>
      </c>
      <c r="B105" s="11" t="s">
        <v>606</v>
      </c>
      <c r="C105" s="17" t="s">
        <v>607</v>
      </c>
      <c r="D105" s="17" t="s">
        <v>608</v>
      </c>
      <c r="E105" s="37">
        <v>9276</v>
      </c>
      <c r="F105" s="17" t="s">
        <v>609</v>
      </c>
    </row>
    <row r="106" spans="1:6">
      <c r="A106" s="12" t="s">
        <v>610</v>
      </c>
      <c r="B106" s="11" t="s">
        <v>611</v>
      </c>
      <c r="C106" s="17" t="s">
        <v>612</v>
      </c>
      <c r="D106" s="17" t="s">
        <v>613</v>
      </c>
      <c r="E106" s="37">
        <v>2073</v>
      </c>
      <c r="F106" s="17" t="s">
        <v>614</v>
      </c>
    </row>
    <row r="107" spans="1:6">
      <c r="A107" s="12" t="s">
        <v>615</v>
      </c>
      <c r="B107" s="11" t="s">
        <v>616</v>
      </c>
      <c r="C107" s="17" t="s">
        <v>617</v>
      </c>
      <c r="D107" s="17" t="s">
        <v>618</v>
      </c>
      <c r="E107" s="37">
        <v>6813</v>
      </c>
      <c r="F107" s="17" t="s">
        <v>619</v>
      </c>
    </row>
    <row r="108" spans="1:6">
      <c r="A108" s="12" t="s">
        <v>620</v>
      </c>
      <c r="B108" s="11" t="s">
        <v>621</v>
      </c>
      <c r="C108" s="17" t="s">
        <v>622</v>
      </c>
      <c r="D108" s="17" t="s">
        <v>504</v>
      </c>
      <c r="E108" s="37">
        <v>316</v>
      </c>
      <c r="F108" s="17" t="s">
        <v>439</v>
      </c>
    </row>
    <row r="109" spans="1:6">
      <c r="A109" s="12" t="s">
        <v>623</v>
      </c>
      <c r="B109" s="11" t="s">
        <v>624</v>
      </c>
      <c r="C109" s="17" t="s">
        <v>625</v>
      </c>
      <c r="D109" s="17" t="s">
        <v>626</v>
      </c>
      <c r="E109" s="37">
        <v>65</v>
      </c>
      <c r="F109" s="17" t="s">
        <v>431</v>
      </c>
    </row>
    <row r="110" spans="1:6">
      <c r="A110" s="12" t="s">
        <v>627</v>
      </c>
      <c r="B110" s="11" t="s">
        <v>628</v>
      </c>
      <c r="C110" s="17" t="s">
        <v>629</v>
      </c>
      <c r="D110" s="17" t="s">
        <v>630</v>
      </c>
      <c r="E110" s="37">
        <v>7482</v>
      </c>
      <c r="F110" s="17" t="s">
        <v>631</v>
      </c>
    </row>
    <row r="111" spans="1:6">
      <c r="A111" s="12" t="s">
        <v>632</v>
      </c>
      <c r="B111" s="11" t="s">
        <v>633</v>
      </c>
      <c r="C111" s="17" t="s">
        <v>634</v>
      </c>
      <c r="D111" s="17" t="s">
        <v>635</v>
      </c>
      <c r="E111" s="37">
        <v>641</v>
      </c>
      <c r="F111" s="17" t="s">
        <v>636</v>
      </c>
    </row>
    <row r="112" spans="1:6">
      <c r="A112" s="12" t="s">
        <v>637</v>
      </c>
      <c r="B112" s="11" t="s">
        <v>638</v>
      </c>
      <c r="C112" s="17" t="s">
        <v>639</v>
      </c>
      <c r="D112" s="17" t="s">
        <v>640</v>
      </c>
      <c r="E112" s="37">
        <v>12284</v>
      </c>
      <c r="F112" s="17" t="s">
        <v>641</v>
      </c>
    </row>
    <row r="113" spans="1:6">
      <c r="A113" s="12" t="s">
        <v>642</v>
      </c>
      <c r="B113" s="11" t="s">
        <v>643</v>
      </c>
      <c r="C113" s="17" t="s">
        <v>644</v>
      </c>
      <c r="D113" s="17" t="s">
        <v>645</v>
      </c>
      <c r="E113" s="37">
        <v>2579</v>
      </c>
      <c r="F113" s="17" t="s">
        <v>646</v>
      </c>
    </row>
    <row r="114" spans="1:6">
      <c r="A114" s="12" t="s">
        <v>647</v>
      </c>
      <c r="B114" s="11" t="s">
        <v>648</v>
      </c>
      <c r="C114" s="17" t="s">
        <v>649</v>
      </c>
      <c r="D114" s="17" t="s">
        <v>650</v>
      </c>
      <c r="E114" s="37">
        <v>1225</v>
      </c>
      <c r="F114" s="17" t="s">
        <v>651</v>
      </c>
    </row>
    <row r="115" spans="1:6">
      <c r="A115" s="12" t="s">
        <v>652</v>
      </c>
      <c r="B115" s="11" t="s">
        <v>653</v>
      </c>
      <c r="C115" s="17" t="s">
        <v>654</v>
      </c>
      <c r="D115" s="17" t="s">
        <v>147</v>
      </c>
      <c r="E115" s="37">
        <v>262</v>
      </c>
      <c r="F115" s="17" t="s">
        <v>655</v>
      </c>
    </row>
    <row r="116" spans="1:6">
      <c r="A116" s="12" t="s">
        <v>656</v>
      </c>
      <c r="B116" s="11" t="s">
        <v>657</v>
      </c>
      <c r="C116" s="17" t="s">
        <v>658</v>
      </c>
      <c r="D116" s="17" t="s">
        <v>659</v>
      </c>
      <c r="E116" s="37">
        <v>7526</v>
      </c>
      <c r="F116" s="17" t="s">
        <v>660</v>
      </c>
    </row>
    <row r="117" spans="1:6">
      <c r="A117" s="12" t="s">
        <v>661</v>
      </c>
      <c r="B117" s="11" t="s">
        <v>662</v>
      </c>
      <c r="C117" s="17" t="s">
        <v>663</v>
      </c>
      <c r="D117" s="17" t="s">
        <v>664</v>
      </c>
      <c r="E117" s="37">
        <v>57352</v>
      </c>
      <c r="F117" s="17" t="s">
        <v>665</v>
      </c>
    </row>
    <row r="118" spans="1:6">
      <c r="A118" s="12" t="s">
        <v>666</v>
      </c>
      <c r="B118" s="11" t="s">
        <v>667</v>
      </c>
      <c r="C118" s="17" t="s">
        <v>668</v>
      </c>
      <c r="D118" s="17" t="s">
        <v>669</v>
      </c>
      <c r="E118" s="37">
        <v>14215</v>
      </c>
      <c r="F118" s="17" t="s">
        <v>670</v>
      </c>
    </row>
    <row r="119" spans="1:6">
      <c r="A119" s="12" t="s">
        <v>587</v>
      </c>
      <c r="B119" s="11" t="s">
        <v>671</v>
      </c>
      <c r="C119" s="17" t="s">
        <v>672</v>
      </c>
      <c r="D119" s="17" t="s">
        <v>673</v>
      </c>
      <c r="E119" s="37">
        <v>25530</v>
      </c>
      <c r="F119" s="17" t="s">
        <v>674</v>
      </c>
    </row>
    <row r="120" spans="1:6">
      <c r="A120" s="12" t="s">
        <v>675</v>
      </c>
      <c r="B120" s="11" t="s">
        <v>676</v>
      </c>
      <c r="C120" s="17" t="s">
        <v>677</v>
      </c>
      <c r="D120" s="17" t="s">
        <v>678</v>
      </c>
      <c r="E120" s="37">
        <v>17986</v>
      </c>
      <c r="F120" s="17" t="s">
        <v>679</v>
      </c>
    </row>
    <row r="121" spans="1:6">
      <c r="A121" s="12" t="s">
        <v>680</v>
      </c>
      <c r="B121" s="11" t="s">
        <v>681</v>
      </c>
      <c r="C121" s="17" t="s">
        <v>682</v>
      </c>
      <c r="D121" s="17" t="s">
        <v>683</v>
      </c>
      <c r="E121" s="37">
        <v>7365</v>
      </c>
      <c r="F121" s="17" t="s">
        <v>684</v>
      </c>
    </row>
    <row r="122" spans="1:6">
      <c r="A122" s="12" t="s">
        <v>685</v>
      </c>
      <c r="B122" s="11" t="s">
        <v>686</v>
      </c>
      <c r="C122" s="17" t="s">
        <v>687</v>
      </c>
      <c r="D122" s="17" t="s">
        <v>688</v>
      </c>
      <c r="E122" s="37">
        <v>14725</v>
      </c>
      <c r="F122" s="17" t="s">
        <v>689</v>
      </c>
    </row>
    <row r="123" spans="1:6">
      <c r="A123" s="12" t="s">
        <v>690</v>
      </c>
      <c r="B123" s="11" t="s">
        <v>691</v>
      </c>
      <c r="C123" s="17" t="s">
        <v>692</v>
      </c>
      <c r="D123" s="17" t="s">
        <v>693</v>
      </c>
      <c r="E123" s="37">
        <v>5498</v>
      </c>
      <c r="F123" s="17" t="s">
        <v>694</v>
      </c>
    </row>
    <row r="124" spans="1:6">
      <c r="A124" s="12" t="s">
        <v>695</v>
      </c>
      <c r="B124" s="11" t="s">
        <v>696</v>
      </c>
      <c r="C124" s="17" t="s">
        <v>697</v>
      </c>
      <c r="D124" s="17" t="s">
        <v>698</v>
      </c>
      <c r="E124" s="37">
        <v>13224</v>
      </c>
      <c r="F124" s="17" t="s">
        <v>699</v>
      </c>
    </row>
    <row r="125" spans="1:6">
      <c r="A125" s="12" t="s">
        <v>700</v>
      </c>
      <c r="B125" s="11" t="s">
        <v>272</v>
      </c>
      <c r="C125" s="17" t="s">
        <v>701</v>
      </c>
      <c r="D125" s="17" t="s">
        <v>702</v>
      </c>
      <c r="E125" s="17">
        <v>460646</v>
      </c>
      <c r="F125" s="17" t="s">
        <v>703</v>
      </c>
    </row>
    <row r="126" spans="1:6">
      <c r="A126" s="34" t="s">
        <v>47</v>
      </c>
      <c r="B126" s="14" t="s">
        <v>48</v>
      </c>
      <c r="C126">
        <v>1795</v>
      </c>
      <c r="D126">
        <v>1724</v>
      </c>
      <c r="E126">
        <v>1551</v>
      </c>
      <c r="F126">
        <v>5070</v>
      </c>
    </row>
    <row r="127" spans="1:6">
      <c r="A127" s="34" t="s">
        <v>49</v>
      </c>
      <c r="B127" s="16" t="s">
        <v>50</v>
      </c>
      <c r="C127">
        <v>27775</v>
      </c>
      <c r="D127">
        <v>27229</v>
      </c>
      <c r="E127">
        <v>26648</v>
      </c>
      <c r="F127">
        <v>81652</v>
      </c>
    </row>
    <row r="128" spans="1:6">
      <c r="A128" s="34" t="s">
        <v>139</v>
      </c>
      <c r="B128" s="14" t="s">
        <v>140</v>
      </c>
      <c r="C128" s="18">
        <v>0</v>
      </c>
      <c r="D128" s="18">
        <v>0</v>
      </c>
      <c r="E128" s="18">
        <v>0</v>
      </c>
      <c r="F128" s="18">
        <v>0</v>
      </c>
    </row>
    <row r="129" spans="1:6">
      <c r="A129" s="34" t="s">
        <v>185</v>
      </c>
      <c r="B129" s="16" t="s">
        <v>186</v>
      </c>
      <c r="C129" s="18">
        <v>0</v>
      </c>
      <c r="D129" s="18">
        <v>0</v>
      </c>
      <c r="E129" s="18">
        <v>0</v>
      </c>
      <c r="F129" s="18">
        <v>0</v>
      </c>
    </row>
    <row r="130" spans="1:6">
      <c r="A130" s="34" t="s">
        <v>209</v>
      </c>
      <c r="B130" s="16" t="s">
        <v>210</v>
      </c>
      <c r="C130">
        <v>164</v>
      </c>
      <c r="D130">
        <v>187</v>
      </c>
      <c r="E130">
        <v>149</v>
      </c>
      <c r="F130">
        <v>500</v>
      </c>
    </row>
    <row r="131" spans="1:6">
      <c r="A131" s="34" t="s">
        <v>211</v>
      </c>
      <c r="B131" s="14" t="s">
        <v>212</v>
      </c>
      <c r="C131">
        <v>11463</v>
      </c>
      <c r="D131">
        <v>10922</v>
      </c>
      <c r="E131">
        <v>10586</v>
      </c>
      <c r="F131">
        <v>32971</v>
      </c>
    </row>
    <row r="132" spans="1:6">
      <c r="A132"/>
      <c r="B132"/>
      <c r="C132" s="18"/>
      <c r="D132" s="18"/>
      <c r="E132" s="18"/>
      <c r="F132" s="18"/>
    </row>
    <row r="133" spans="1:6">
      <c r="A133"/>
      <c r="B133"/>
      <c r="C133" s="18"/>
      <c r="D133" s="18"/>
      <c r="E133" s="18"/>
      <c r="F133" s="18"/>
    </row>
    <row r="134" spans="1:6">
      <c r="A134"/>
      <c r="B134"/>
      <c r="C134" s="18"/>
      <c r="D134" s="18"/>
      <c r="E134" s="18"/>
      <c r="F134" s="18"/>
    </row>
    <row r="135" spans="1:6">
      <c r="A135"/>
      <c r="B135"/>
      <c r="C135" s="18"/>
      <c r="D135" s="18"/>
      <c r="E135" s="18"/>
      <c r="F135" s="18"/>
    </row>
    <row r="136" spans="1:6">
      <c r="A136"/>
      <c r="B136"/>
      <c r="C136" s="18"/>
      <c r="D136" s="18"/>
      <c r="E136" s="18"/>
      <c r="F136" s="18"/>
    </row>
    <row r="137" spans="1:6">
      <c r="A137"/>
      <c r="B137"/>
      <c r="C137" s="18"/>
      <c r="D137" s="18"/>
      <c r="E137" s="18"/>
      <c r="F137" s="18"/>
    </row>
    <row r="138" spans="1:6">
      <c r="A138"/>
      <c r="B138"/>
      <c r="C138" s="18"/>
      <c r="D138" s="18"/>
      <c r="E138" s="18"/>
      <c r="F138" s="18"/>
    </row>
    <row r="139" spans="1:6">
      <c r="A139"/>
      <c r="B139"/>
      <c r="C139" s="18"/>
      <c r="D139" s="18"/>
      <c r="E139" s="18"/>
      <c r="F139" s="18"/>
    </row>
    <row r="140" spans="1:6">
      <c r="A140"/>
      <c r="B140"/>
      <c r="C140" s="18"/>
      <c r="D140" s="18"/>
      <c r="E140" s="18"/>
      <c r="F140" s="18"/>
    </row>
    <row r="141" spans="1:6">
      <c r="A141"/>
      <c r="B141"/>
      <c r="C141" s="18"/>
      <c r="D141" s="18"/>
      <c r="E141" s="18"/>
      <c r="F141" s="18"/>
    </row>
    <row r="142" spans="1:6">
      <c r="A142"/>
      <c r="B142"/>
      <c r="C142" s="18"/>
      <c r="D142" s="18"/>
      <c r="E142" s="18"/>
      <c r="F142" s="18"/>
    </row>
    <row r="143" spans="1:6">
      <c r="A143"/>
      <c r="B143"/>
      <c r="C143" s="18"/>
      <c r="D143" s="18"/>
      <c r="E143" s="18"/>
      <c r="F143" s="18"/>
    </row>
    <row r="144" spans="1:6">
      <c r="A144"/>
      <c r="B144"/>
      <c r="C144" s="18"/>
      <c r="D144" s="18"/>
      <c r="E144" s="18"/>
      <c r="F144" s="18"/>
    </row>
    <row r="145" spans="1:6">
      <c r="A145"/>
      <c r="B145"/>
      <c r="C145" s="18"/>
      <c r="D145" s="18"/>
      <c r="E145" s="18"/>
      <c r="F145" s="18"/>
    </row>
    <row r="146" spans="1:6">
      <c r="A146"/>
      <c r="B146"/>
      <c r="C146" s="18"/>
      <c r="D146" s="18"/>
      <c r="E146" s="18"/>
      <c r="F146" s="18"/>
    </row>
    <row r="147" spans="1:6">
      <c r="A147"/>
      <c r="B147"/>
      <c r="C147" s="18"/>
      <c r="D147" s="18"/>
      <c r="E147" s="18"/>
      <c r="F147" s="18"/>
    </row>
    <row r="148" spans="1:6">
      <c r="A148"/>
      <c r="B148"/>
      <c r="C148" s="18"/>
      <c r="D148" s="18"/>
      <c r="E148" s="18"/>
      <c r="F148" s="18"/>
    </row>
    <row r="149" spans="1:6">
      <c r="A149"/>
      <c r="B149"/>
      <c r="C149" s="18"/>
      <c r="D149" s="18"/>
      <c r="E149" s="18"/>
      <c r="F149" s="18"/>
    </row>
    <row r="150" spans="1:6">
      <c r="A150"/>
      <c r="B150"/>
      <c r="C150" s="18"/>
      <c r="D150" s="18"/>
      <c r="E150" s="18"/>
      <c r="F150" s="18"/>
    </row>
    <row r="151" spans="1:6">
      <c r="A151"/>
      <c r="B151"/>
      <c r="C151" s="18"/>
      <c r="D151" s="18"/>
      <c r="E151" s="18"/>
      <c r="F151" s="18"/>
    </row>
    <row r="152" spans="1:6">
      <c r="A152"/>
      <c r="B152"/>
      <c r="C152" s="18"/>
      <c r="D152" s="18"/>
      <c r="E152" s="18"/>
      <c r="F152" s="18"/>
    </row>
    <row r="153" spans="1:6">
      <c r="A153"/>
      <c r="B153"/>
      <c r="C153" s="18"/>
      <c r="D153" s="18"/>
      <c r="E153" s="18"/>
      <c r="F153" s="18"/>
    </row>
    <row r="154" spans="1:6">
      <c r="A154"/>
      <c r="B154"/>
      <c r="C154" s="18"/>
      <c r="D154" s="18"/>
      <c r="E154" s="18"/>
      <c r="F154" s="18"/>
    </row>
    <row r="155" spans="1:6">
      <c r="A155"/>
      <c r="B155"/>
      <c r="C155" s="18"/>
      <c r="D155" s="18"/>
      <c r="E155" s="18"/>
      <c r="F155" s="18"/>
    </row>
    <row r="156" spans="1:6">
      <c r="A156"/>
      <c r="B156"/>
      <c r="C156" s="18"/>
      <c r="D156" s="18"/>
      <c r="E156" s="18"/>
      <c r="F156" s="18"/>
    </row>
    <row r="157" spans="1:6">
      <c r="A157"/>
      <c r="B157"/>
      <c r="C157" s="18"/>
      <c r="D157" s="18"/>
      <c r="E157" s="18"/>
      <c r="F157" s="18"/>
    </row>
    <row r="158" spans="1:6">
      <c r="A158"/>
      <c r="B158"/>
      <c r="C158" s="18"/>
      <c r="D158" s="18"/>
      <c r="E158" s="18"/>
      <c r="F158" s="18"/>
    </row>
    <row r="159" spans="1:6">
      <c r="A159"/>
      <c r="B159"/>
      <c r="C159" s="18"/>
      <c r="D159" s="18"/>
      <c r="E159" s="18"/>
      <c r="F159" s="18"/>
    </row>
    <row r="160" spans="1:6">
      <c r="A160"/>
      <c r="B160"/>
      <c r="C160" s="18"/>
      <c r="D160" s="18"/>
      <c r="E160" s="18"/>
      <c r="F160" s="18"/>
    </row>
    <row r="161" spans="1:6">
      <c r="A161"/>
      <c r="B161"/>
      <c r="C161" s="18"/>
      <c r="D161" s="18"/>
      <c r="E161" s="18"/>
      <c r="F161" s="18"/>
    </row>
    <row r="162" spans="1:6">
      <c r="A162"/>
      <c r="B162"/>
      <c r="C162" s="18"/>
      <c r="D162" s="18"/>
      <c r="E162" s="18"/>
      <c r="F162" s="18"/>
    </row>
    <row r="163" spans="1:6">
      <c r="A163"/>
      <c r="B163"/>
      <c r="C163" s="18"/>
      <c r="D163" s="18"/>
      <c r="E163" s="18"/>
      <c r="F163" s="18"/>
    </row>
    <row r="164" spans="1:6">
      <c r="A164"/>
      <c r="B164"/>
      <c r="C164" s="18"/>
      <c r="D164" s="18"/>
      <c r="E164" s="18"/>
      <c r="F164" s="18"/>
    </row>
    <row r="165" spans="1:6">
      <c r="A165"/>
      <c r="B165"/>
      <c r="C165" s="18"/>
      <c r="D165" s="18"/>
      <c r="E165" s="18"/>
      <c r="F165" s="18"/>
    </row>
    <row r="166" spans="1:6">
      <c r="A166"/>
      <c r="B166"/>
      <c r="C166" s="18"/>
      <c r="D166" s="18"/>
      <c r="E166" s="18"/>
      <c r="F166" s="18"/>
    </row>
    <row r="167" spans="1:6">
      <c r="A167"/>
      <c r="B167"/>
      <c r="C167" s="18"/>
      <c r="D167" s="18"/>
      <c r="E167" s="18"/>
      <c r="F167" s="18"/>
    </row>
    <row r="168" spans="1:6">
      <c r="A168"/>
      <c r="B168"/>
      <c r="C168" s="18"/>
      <c r="D168" s="18"/>
      <c r="E168" s="18"/>
      <c r="F168" s="18"/>
    </row>
    <row r="169" spans="1:6">
      <c r="A169"/>
      <c r="B169"/>
      <c r="C169" s="18"/>
      <c r="D169" s="18"/>
      <c r="E169" s="18"/>
      <c r="F169" s="18"/>
    </row>
    <row r="170" spans="1:6">
      <c r="A170"/>
      <c r="B170"/>
      <c r="C170" s="18"/>
      <c r="D170" s="18"/>
      <c r="E170" s="18"/>
      <c r="F170" s="18"/>
    </row>
    <row r="171" spans="1:6">
      <c r="A171"/>
      <c r="B171"/>
      <c r="C171" s="18"/>
      <c r="D171" s="18"/>
      <c r="E171" s="18"/>
      <c r="F171" s="18"/>
    </row>
    <row r="172" spans="1:6">
      <c r="A172"/>
      <c r="B172"/>
      <c r="C172" s="18"/>
      <c r="D172" s="18"/>
      <c r="E172" s="18"/>
      <c r="F172" s="18"/>
    </row>
    <row r="173" spans="1:6">
      <c r="A173"/>
      <c r="B173"/>
      <c r="C173" s="18"/>
      <c r="D173" s="18"/>
      <c r="E173" s="18"/>
      <c r="F173" s="18"/>
    </row>
    <row r="174" spans="1:6">
      <c r="A174"/>
      <c r="B174"/>
      <c r="C174" s="18"/>
      <c r="D174" s="18"/>
      <c r="E174" s="18"/>
      <c r="F174" s="18"/>
    </row>
    <row r="175" spans="1:6">
      <c r="A175"/>
      <c r="B175"/>
      <c r="C175" s="18"/>
      <c r="D175" s="18"/>
      <c r="E175" s="18"/>
      <c r="F175" s="18"/>
    </row>
    <row r="176" spans="1:6">
      <c r="A176"/>
      <c r="B176"/>
      <c r="C176" s="18"/>
      <c r="D176" s="18"/>
      <c r="E176" s="18"/>
      <c r="F176" s="18"/>
    </row>
    <row r="177" spans="1:6">
      <c r="A177"/>
      <c r="B177"/>
      <c r="C177" s="18"/>
      <c r="D177" s="18"/>
      <c r="E177" s="18"/>
      <c r="F177" s="18"/>
    </row>
    <row r="178" spans="1:6">
      <c r="A178"/>
      <c r="B178"/>
      <c r="C178" s="18"/>
      <c r="D178" s="18"/>
      <c r="E178" s="18"/>
      <c r="F178" s="18"/>
    </row>
    <row r="179" spans="1:6">
      <c r="A179"/>
      <c r="B179"/>
      <c r="C179" s="18"/>
      <c r="D179" s="18"/>
      <c r="E179" s="18"/>
      <c r="F179" s="18"/>
    </row>
    <row r="180" spans="1:6">
      <c r="A180"/>
      <c r="B180"/>
      <c r="C180" s="18"/>
      <c r="D180" s="18"/>
      <c r="E180" s="18"/>
      <c r="F180" s="18"/>
    </row>
    <row r="181" spans="1:6">
      <c r="A181"/>
      <c r="B181"/>
      <c r="C181" s="18"/>
      <c r="D181" s="18"/>
      <c r="E181" s="18"/>
      <c r="F181" s="18"/>
    </row>
    <row r="182" spans="1:6">
      <c r="A182"/>
      <c r="B182"/>
      <c r="C182" s="18"/>
      <c r="D182" s="18"/>
      <c r="E182" s="18"/>
      <c r="F182" s="18"/>
    </row>
    <row r="183" spans="1:6">
      <c r="A183"/>
      <c r="B183"/>
      <c r="C183" s="18"/>
      <c r="D183" s="18"/>
      <c r="E183" s="18"/>
      <c r="F183" s="18"/>
    </row>
    <row r="184" spans="1:6">
      <c r="A184"/>
      <c r="B184"/>
      <c r="C184" s="18"/>
      <c r="D184" s="18"/>
      <c r="E184" s="18"/>
      <c r="F184" s="18"/>
    </row>
    <row r="185" spans="1:6">
      <c r="A185"/>
      <c r="B185"/>
      <c r="C185" s="18"/>
      <c r="D185" s="18"/>
      <c r="E185" s="18"/>
      <c r="F185" s="18"/>
    </row>
    <row r="186" spans="1:6">
      <c r="A186"/>
      <c r="B186"/>
      <c r="C186" s="18"/>
      <c r="D186" s="18"/>
      <c r="E186" s="18"/>
      <c r="F186" s="18"/>
    </row>
    <row r="187" spans="1:6">
      <c r="A187"/>
      <c r="B187"/>
      <c r="C187" s="18"/>
      <c r="D187" s="18"/>
      <c r="E187" s="18"/>
      <c r="F187" s="18"/>
    </row>
    <row r="188" spans="1:6">
      <c r="A188"/>
      <c r="B188"/>
      <c r="C188" s="18"/>
      <c r="D188" s="18"/>
      <c r="E188" s="18"/>
      <c r="F188" s="18"/>
    </row>
    <row r="189" spans="1:6">
      <c r="A189"/>
      <c r="B189"/>
      <c r="C189" s="18"/>
      <c r="D189" s="18"/>
      <c r="E189" s="18"/>
      <c r="F189" s="18"/>
    </row>
    <row r="190" spans="1:6">
      <c r="A190"/>
      <c r="B190"/>
      <c r="C190" s="18"/>
      <c r="D190" s="18"/>
      <c r="E190" s="18"/>
      <c r="F190" s="18"/>
    </row>
    <row r="191" spans="1:6">
      <c r="A191"/>
      <c r="B191"/>
      <c r="C191" s="18"/>
      <c r="D191" s="18"/>
      <c r="E191" s="18"/>
      <c r="F191" s="18"/>
    </row>
    <row r="192" spans="1:6">
      <c r="A192"/>
      <c r="B192"/>
      <c r="C192" s="18"/>
      <c r="D192" s="18"/>
      <c r="E192" s="18"/>
      <c r="F192" s="18"/>
    </row>
    <row r="193" spans="1:6">
      <c r="A193"/>
      <c r="B193"/>
      <c r="C193" s="18"/>
      <c r="D193" s="18"/>
      <c r="E193" s="18"/>
      <c r="F193" s="18"/>
    </row>
    <row r="194" spans="1:6">
      <c r="A194"/>
      <c r="B194"/>
      <c r="C194" s="18"/>
      <c r="D194" s="18"/>
      <c r="E194" s="18"/>
      <c r="F194" s="18"/>
    </row>
    <row r="195" spans="1:6">
      <c r="A195"/>
      <c r="B195"/>
      <c r="C195" s="18"/>
      <c r="D195" s="18"/>
      <c r="E195" s="18"/>
      <c r="F195" s="18"/>
    </row>
    <row r="196" spans="1:6">
      <c r="A196"/>
      <c r="B196"/>
      <c r="C196" s="18"/>
      <c r="D196" s="18"/>
      <c r="E196" s="18"/>
      <c r="F196" s="18"/>
    </row>
    <row r="197" spans="1:6">
      <c r="A197"/>
      <c r="B197"/>
      <c r="C197" s="18"/>
      <c r="D197" s="18"/>
      <c r="E197" s="18"/>
      <c r="F197" s="18"/>
    </row>
    <row r="198" spans="1:6">
      <c r="A198"/>
      <c r="B198"/>
      <c r="C198" s="18"/>
      <c r="D198" s="18"/>
      <c r="E198" s="18"/>
      <c r="F198" s="18"/>
    </row>
    <row r="199" spans="1:6">
      <c r="A199"/>
      <c r="B199"/>
      <c r="C199" s="18"/>
      <c r="D199" s="18"/>
      <c r="E199" s="18"/>
      <c r="F199" s="18"/>
    </row>
    <row r="200" spans="1:6">
      <c r="A200"/>
      <c r="B200"/>
      <c r="C200" s="18"/>
      <c r="D200" s="18"/>
      <c r="E200" s="18"/>
      <c r="F200" s="18"/>
    </row>
    <row r="201" spans="1:6">
      <c r="A201"/>
      <c r="B201"/>
      <c r="C201" s="18"/>
      <c r="D201" s="18"/>
      <c r="E201" s="18"/>
      <c r="F201" s="18"/>
    </row>
    <row r="202" spans="1:6">
      <c r="A202"/>
      <c r="B202"/>
      <c r="C202" s="18"/>
      <c r="D202" s="18"/>
      <c r="E202" s="18"/>
      <c r="F202" s="18"/>
    </row>
    <row r="203" spans="1:6">
      <c r="A203"/>
      <c r="B203"/>
      <c r="C203" s="18"/>
      <c r="D203" s="18"/>
      <c r="E203" s="18"/>
      <c r="F203" s="18"/>
    </row>
    <row r="204" spans="1:6">
      <c r="A204"/>
      <c r="B204"/>
      <c r="C204" s="18"/>
      <c r="D204" s="18"/>
      <c r="E204" s="18"/>
      <c r="F204" s="18"/>
    </row>
    <row r="205" spans="1:6">
      <c r="A205"/>
      <c r="B205"/>
      <c r="C205" s="18"/>
      <c r="D205" s="18"/>
      <c r="E205" s="18"/>
      <c r="F205" s="18"/>
    </row>
    <row r="206" spans="1:6">
      <c r="A206"/>
      <c r="B206"/>
      <c r="C206" s="18"/>
      <c r="D206" s="18"/>
      <c r="E206" s="18"/>
      <c r="F206" s="18"/>
    </row>
    <row r="207" spans="1:6">
      <c r="A207"/>
      <c r="B207"/>
      <c r="C207" s="18"/>
      <c r="D207" s="18"/>
      <c r="E207" s="18"/>
      <c r="F207" s="18"/>
    </row>
    <row r="208" spans="1:6">
      <c r="A208"/>
      <c r="B208"/>
      <c r="C208" s="18"/>
      <c r="D208" s="18"/>
      <c r="E208" s="18"/>
      <c r="F208" s="18"/>
    </row>
    <row r="209" spans="1:6">
      <c r="A209"/>
      <c r="B209"/>
      <c r="C209" s="18"/>
      <c r="D209" s="18"/>
      <c r="E209" s="18"/>
      <c r="F209" s="18"/>
    </row>
    <row r="210" spans="1:6">
      <c r="A210"/>
      <c r="B210"/>
      <c r="C210" s="18"/>
      <c r="D210" s="18"/>
      <c r="E210" s="18"/>
      <c r="F210" s="18"/>
    </row>
    <row r="211" spans="1:6">
      <c r="A211"/>
      <c r="B211"/>
      <c r="C211" s="18"/>
      <c r="D211" s="18"/>
      <c r="E211" s="18"/>
      <c r="F211" s="18"/>
    </row>
    <row r="212" spans="1:6">
      <c r="A212"/>
      <c r="B212"/>
      <c r="C212" s="18"/>
      <c r="D212" s="18"/>
      <c r="E212" s="18"/>
      <c r="F212" s="18"/>
    </row>
    <row r="213" spans="1:6">
      <c r="A213"/>
      <c r="B213"/>
      <c r="C213" s="18"/>
      <c r="D213" s="18"/>
      <c r="E213" s="18"/>
      <c r="F213" s="18"/>
    </row>
    <row r="214" spans="1:6">
      <c r="A214"/>
      <c r="B214"/>
      <c r="C214" s="18"/>
      <c r="D214" s="18"/>
      <c r="E214" s="18"/>
      <c r="F214" s="18"/>
    </row>
    <row r="215" spans="1:6">
      <c r="A215"/>
      <c r="B215"/>
      <c r="C215" s="18"/>
      <c r="D215" s="18"/>
      <c r="E215" s="18"/>
      <c r="F215" s="18"/>
    </row>
    <row r="216" spans="1:6">
      <c r="A216"/>
      <c r="B216"/>
      <c r="C216" s="18"/>
      <c r="D216" s="18"/>
      <c r="E216" s="18"/>
      <c r="F216" s="18"/>
    </row>
    <row r="217" spans="1:6">
      <c r="A217"/>
      <c r="B217"/>
      <c r="C217" s="18"/>
      <c r="D217" s="18"/>
      <c r="E217" s="18"/>
      <c r="F217" s="18"/>
    </row>
    <row r="218" spans="1:6">
      <c r="A218"/>
      <c r="B218"/>
      <c r="C218" s="18"/>
      <c r="D218" s="18"/>
      <c r="E218" s="18"/>
      <c r="F218" s="18"/>
    </row>
    <row r="219" spans="1:6">
      <c r="A219"/>
      <c r="B219"/>
      <c r="C219" s="18"/>
      <c r="D219" s="18"/>
      <c r="E219" s="18"/>
      <c r="F219" s="18"/>
    </row>
    <row r="220" spans="1:6">
      <c r="A220"/>
      <c r="B220"/>
      <c r="C220" s="18"/>
      <c r="D220" s="18"/>
      <c r="E220" s="18"/>
      <c r="F220" s="18"/>
    </row>
    <row r="221" spans="1:6">
      <c r="A221"/>
      <c r="B221"/>
      <c r="C221" s="18"/>
      <c r="D221" s="18"/>
      <c r="E221" s="18"/>
      <c r="F221" s="18"/>
    </row>
    <row r="222" spans="1:6">
      <c r="A222"/>
      <c r="B222"/>
      <c r="C222" s="18"/>
      <c r="D222" s="18"/>
      <c r="E222" s="18"/>
      <c r="F222" s="18"/>
    </row>
    <row r="223" spans="1:6">
      <c r="A223"/>
      <c r="B223"/>
      <c r="C223" s="18"/>
      <c r="D223" s="18"/>
      <c r="E223" s="18"/>
      <c r="F223" s="18"/>
    </row>
    <row r="224" spans="1:6">
      <c r="A224"/>
      <c r="B224"/>
      <c r="C224" s="18"/>
      <c r="D224" s="18"/>
      <c r="E224" s="18"/>
      <c r="F224" s="18"/>
    </row>
    <row r="225" spans="1:6">
      <c r="A225"/>
      <c r="B225"/>
      <c r="C225" s="18"/>
      <c r="D225" s="18"/>
      <c r="E225" s="18"/>
      <c r="F225" s="18"/>
    </row>
    <row r="226" spans="1:6">
      <c r="A226"/>
      <c r="B226"/>
      <c r="C226" s="18"/>
      <c r="D226" s="18"/>
      <c r="E226" s="18"/>
      <c r="F226" s="18"/>
    </row>
    <row r="227" spans="1:6">
      <c r="A227"/>
      <c r="B227"/>
      <c r="C227" s="18"/>
      <c r="D227" s="18"/>
      <c r="E227" s="18"/>
      <c r="F227" s="18"/>
    </row>
    <row r="228" spans="1:6">
      <c r="A228"/>
      <c r="B228"/>
      <c r="C228" s="18"/>
      <c r="D228" s="18"/>
      <c r="E228" s="18"/>
      <c r="F228" s="18"/>
    </row>
    <row r="229" spans="1:6">
      <c r="A229"/>
      <c r="B229"/>
      <c r="C229" s="18"/>
      <c r="D229" s="18"/>
      <c r="E229" s="18"/>
      <c r="F229" s="18"/>
    </row>
    <row r="230" spans="1:6">
      <c r="A230"/>
      <c r="B230"/>
      <c r="C230" s="18"/>
      <c r="D230" s="18"/>
      <c r="E230" s="18"/>
      <c r="F230" s="18"/>
    </row>
    <row r="231" spans="1:6">
      <c r="A231"/>
      <c r="B231"/>
      <c r="C231" s="18"/>
      <c r="D231" s="18"/>
      <c r="E231" s="18"/>
      <c r="F231" s="18"/>
    </row>
    <row r="232" spans="1:6">
      <c r="A232"/>
      <c r="B232"/>
      <c r="C232" s="18"/>
      <c r="D232" s="18"/>
      <c r="E232" s="18"/>
      <c r="F232" s="18"/>
    </row>
    <row r="233" spans="1:6">
      <c r="A233"/>
      <c r="B233"/>
      <c r="C233" s="18"/>
      <c r="D233" s="18"/>
      <c r="E233" s="18"/>
      <c r="F233" s="18"/>
    </row>
    <row r="234" spans="1:6">
      <c r="A234"/>
      <c r="B234"/>
      <c r="C234" s="18"/>
      <c r="D234" s="18"/>
      <c r="E234" s="18"/>
      <c r="F234" s="18"/>
    </row>
    <row r="235" spans="1:6">
      <c r="A235"/>
      <c r="B235"/>
      <c r="C235" s="18"/>
      <c r="D235" s="18"/>
      <c r="E235" s="18"/>
      <c r="F235" s="18"/>
    </row>
    <row r="236" spans="1:6">
      <c r="A236"/>
      <c r="B236"/>
      <c r="C236" s="18"/>
      <c r="D236" s="18"/>
      <c r="E236" s="18"/>
      <c r="F236" s="18"/>
    </row>
    <row r="237" spans="1:6">
      <c r="A237"/>
      <c r="B237"/>
      <c r="C237" s="18"/>
      <c r="D237" s="18"/>
      <c r="E237" s="18"/>
      <c r="F237" s="18"/>
    </row>
    <row r="238" spans="1:6">
      <c r="A238"/>
      <c r="B238"/>
      <c r="C238" s="18"/>
      <c r="D238" s="18"/>
      <c r="E238" s="18"/>
      <c r="F238" s="18"/>
    </row>
    <row r="239" spans="1:6">
      <c r="A239"/>
      <c r="B239"/>
      <c r="C239" s="18"/>
      <c r="D239" s="18"/>
      <c r="E239" s="18"/>
      <c r="F239" s="18"/>
    </row>
    <row r="240" spans="1:6">
      <c r="A240"/>
      <c r="B240"/>
      <c r="C240" s="18"/>
      <c r="D240" s="18"/>
      <c r="E240" s="18"/>
      <c r="F240" s="18"/>
    </row>
    <row r="241" spans="1:6">
      <c r="A241"/>
      <c r="B241"/>
      <c r="C241" s="18"/>
      <c r="D241" s="18"/>
      <c r="E241" s="18"/>
      <c r="F241" s="18"/>
    </row>
    <row r="242" spans="1:6">
      <c r="A242"/>
      <c r="B242"/>
      <c r="C242" s="18"/>
      <c r="D242" s="18"/>
      <c r="E242" s="18"/>
      <c r="F242" s="18"/>
    </row>
    <row r="243" spans="1:6">
      <c r="A243"/>
      <c r="B243"/>
      <c r="C243" s="18"/>
      <c r="D243" s="18"/>
      <c r="E243" s="18"/>
      <c r="F243" s="18"/>
    </row>
    <row r="244" spans="1:6">
      <c r="A244"/>
      <c r="B244"/>
      <c r="C244" s="18"/>
      <c r="D244" s="18"/>
      <c r="E244" s="18"/>
      <c r="F244" s="18"/>
    </row>
    <row r="245" spans="1:6">
      <c r="A245"/>
      <c r="B245"/>
      <c r="C245" s="18"/>
      <c r="D245" s="18"/>
      <c r="E245" s="18"/>
      <c r="F245" s="18"/>
    </row>
    <row r="246" spans="1:6">
      <c r="A246"/>
      <c r="B246"/>
      <c r="C246" s="18"/>
      <c r="D246" s="18"/>
      <c r="E246" s="18"/>
      <c r="F246" s="18"/>
    </row>
    <row r="247" spans="1:6">
      <c r="A247"/>
      <c r="B247"/>
      <c r="C247" s="18"/>
      <c r="D247" s="18"/>
      <c r="E247" s="18"/>
      <c r="F247" s="18"/>
    </row>
    <row r="248" spans="1:6">
      <c r="A248"/>
      <c r="B248"/>
      <c r="C248" s="18"/>
      <c r="D248" s="18"/>
      <c r="E248" s="18"/>
      <c r="F248" s="18"/>
    </row>
    <row r="249" spans="1:6">
      <c r="A249"/>
      <c r="B249"/>
      <c r="C249" s="18"/>
      <c r="D249" s="18"/>
      <c r="E249" s="18"/>
      <c r="F249" s="18"/>
    </row>
    <row r="250" spans="1:6">
      <c r="A250"/>
      <c r="B250"/>
      <c r="C250" s="18"/>
      <c r="D250" s="18"/>
      <c r="E250" s="18"/>
      <c r="F250" s="18"/>
    </row>
    <row r="251" spans="1:6">
      <c r="A251"/>
      <c r="B251"/>
      <c r="C251" s="18"/>
      <c r="D251" s="18"/>
      <c r="E251" s="18"/>
      <c r="F251" s="18"/>
    </row>
    <row r="252" spans="1:6">
      <c r="A252"/>
      <c r="B252"/>
      <c r="C252" s="18"/>
      <c r="D252" s="18"/>
      <c r="E252" s="18"/>
      <c r="F252" s="18"/>
    </row>
    <row r="253" spans="1:6">
      <c r="A253"/>
      <c r="B253"/>
      <c r="C253" s="18"/>
      <c r="D253" s="18"/>
      <c r="E253" s="18"/>
      <c r="F253" s="18"/>
    </row>
    <row r="254" spans="1:6">
      <c r="A254"/>
      <c r="B254"/>
      <c r="C254" s="18"/>
      <c r="D254" s="18"/>
      <c r="E254" s="18"/>
      <c r="F254" s="18"/>
    </row>
    <row r="255" spans="1:6">
      <c r="A255"/>
      <c r="B255"/>
      <c r="C255" s="18"/>
      <c r="D255" s="18"/>
      <c r="E255" s="18"/>
      <c r="F255" s="18"/>
    </row>
    <row r="256" spans="1:6">
      <c r="A256"/>
      <c r="B256"/>
      <c r="C256" s="18"/>
      <c r="D256" s="18"/>
      <c r="E256" s="18"/>
      <c r="F256" s="18"/>
    </row>
    <row r="257" spans="1:6">
      <c r="A257"/>
      <c r="B257"/>
      <c r="C257" s="18"/>
      <c r="D257" s="18"/>
      <c r="E257" s="18"/>
      <c r="F257" s="18"/>
    </row>
    <row r="258" spans="1:6">
      <c r="A258"/>
      <c r="B258"/>
      <c r="C258" s="18"/>
      <c r="D258" s="18"/>
      <c r="E258" s="18"/>
      <c r="F258" s="18"/>
    </row>
    <row r="259" spans="1:6">
      <c r="A259"/>
      <c r="B259"/>
      <c r="C259" s="18"/>
      <c r="D259" s="18"/>
      <c r="E259" s="18"/>
      <c r="F259" s="18"/>
    </row>
    <row r="260" spans="1:6">
      <c r="A260"/>
      <c r="B260"/>
      <c r="C260" s="18"/>
      <c r="D260" s="18"/>
      <c r="E260" s="18"/>
      <c r="F260" s="18"/>
    </row>
    <row r="261" spans="1:6">
      <c r="A261"/>
      <c r="B261"/>
      <c r="C261" s="18"/>
      <c r="D261" s="18"/>
      <c r="E261" s="18"/>
      <c r="F261" s="18"/>
    </row>
    <row r="262" spans="1:6">
      <c r="A262"/>
      <c r="B262"/>
      <c r="C262" s="18"/>
      <c r="D262" s="18"/>
      <c r="E262" s="18"/>
      <c r="F262" s="18"/>
    </row>
    <row r="263" spans="1:6">
      <c r="A263"/>
      <c r="B263"/>
      <c r="C263" s="18"/>
      <c r="D263" s="18"/>
      <c r="E263" s="18"/>
      <c r="F263" s="18"/>
    </row>
    <row r="264" spans="1:6">
      <c r="A264"/>
      <c r="B264"/>
      <c r="C264" s="18"/>
      <c r="D264" s="18"/>
      <c r="E264" s="18"/>
      <c r="F264" s="18"/>
    </row>
    <row r="265" spans="1:6">
      <c r="A265"/>
      <c r="B265"/>
      <c r="C265" s="18"/>
      <c r="D265" s="18"/>
      <c r="E265" s="18"/>
      <c r="F265" s="18"/>
    </row>
    <row r="266" spans="1:6">
      <c r="A266"/>
      <c r="B266"/>
      <c r="C266" s="18"/>
      <c r="D266" s="18"/>
      <c r="E266" s="18"/>
      <c r="F266" s="18"/>
    </row>
    <row r="267" spans="1:6">
      <c r="A267"/>
      <c r="B267"/>
      <c r="C267" s="18"/>
      <c r="D267" s="18"/>
      <c r="E267" s="18"/>
      <c r="F267" s="18"/>
    </row>
    <row r="268" spans="1:6">
      <c r="A268"/>
      <c r="B268"/>
      <c r="C268" s="18"/>
      <c r="D268" s="18"/>
      <c r="E268" s="18"/>
      <c r="F268" s="18"/>
    </row>
    <row r="269" spans="1:6">
      <c r="A269"/>
      <c r="B269"/>
      <c r="C269" s="18"/>
      <c r="D269" s="18"/>
      <c r="E269" s="18"/>
      <c r="F269" s="18"/>
    </row>
    <row r="270" spans="1:6">
      <c r="A270"/>
      <c r="B270"/>
      <c r="C270" s="18"/>
      <c r="D270" s="18"/>
      <c r="E270" s="18"/>
      <c r="F270" s="18"/>
    </row>
    <row r="271" spans="1:6">
      <c r="A271"/>
      <c r="B271"/>
      <c r="C271" s="18"/>
      <c r="D271" s="18"/>
      <c r="E271" s="18"/>
      <c r="F271" s="18"/>
    </row>
    <row r="272" spans="1:6">
      <c r="A272"/>
      <c r="B272"/>
      <c r="C272" s="18"/>
      <c r="D272" s="18"/>
      <c r="E272" s="18"/>
      <c r="F272" s="18"/>
    </row>
    <row r="273" spans="1:6">
      <c r="A273"/>
      <c r="B273"/>
      <c r="C273" s="18"/>
      <c r="D273" s="18"/>
      <c r="E273" s="18"/>
      <c r="F273" s="18"/>
    </row>
    <row r="274" spans="1:6">
      <c r="A274"/>
      <c r="B274"/>
      <c r="C274" s="18"/>
      <c r="D274" s="18"/>
      <c r="E274" s="18"/>
      <c r="F274" s="18"/>
    </row>
    <row r="275" spans="1:6">
      <c r="A275"/>
      <c r="B275"/>
      <c r="C275" s="18"/>
      <c r="D275" s="18"/>
      <c r="E275" s="18"/>
      <c r="F275" s="18"/>
    </row>
    <row r="276" spans="1:6">
      <c r="A276"/>
      <c r="B276"/>
      <c r="C276" s="18"/>
      <c r="D276" s="18"/>
      <c r="E276" s="18"/>
      <c r="F276" s="18"/>
    </row>
    <row r="277" spans="1:6">
      <c r="A277"/>
      <c r="B277"/>
      <c r="C277" s="18"/>
      <c r="D277" s="18"/>
      <c r="E277" s="18"/>
      <c r="F277" s="18"/>
    </row>
    <row r="278" spans="1:6">
      <c r="A278"/>
      <c r="B278"/>
      <c r="C278" s="18"/>
      <c r="D278" s="18"/>
      <c r="E278" s="18"/>
      <c r="F278" s="18"/>
    </row>
    <row r="279" spans="1:6">
      <c r="A279"/>
      <c r="B279"/>
      <c r="C279" s="18"/>
      <c r="D279" s="18"/>
      <c r="E279" s="18"/>
      <c r="F279" s="18"/>
    </row>
    <row r="280" spans="1:6">
      <c r="A280"/>
      <c r="B280"/>
      <c r="C280" s="18"/>
      <c r="D280" s="18"/>
      <c r="E280" s="18"/>
      <c r="F280" s="18"/>
    </row>
    <row r="281" spans="1:6">
      <c r="A281"/>
      <c r="B281"/>
      <c r="C281" s="18"/>
      <c r="D281" s="18"/>
      <c r="E281" s="18"/>
      <c r="F281" s="18"/>
    </row>
    <row r="282" spans="1:6">
      <c r="A282"/>
      <c r="B282"/>
      <c r="C282" s="18"/>
      <c r="D282" s="18"/>
      <c r="E282" s="18"/>
      <c r="F282" s="18"/>
    </row>
    <row r="283" spans="1:6">
      <c r="A283"/>
      <c r="B283"/>
      <c r="C283" s="18"/>
      <c r="D283" s="18"/>
      <c r="E283" s="18"/>
      <c r="F283" s="18"/>
    </row>
    <row r="284" spans="1:6">
      <c r="A284"/>
      <c r="B284"/>
      <c r="C284" s="18"/>
      <c r="D284" s="18"/>
      <c r="E284" s="18"/>
      <c r="F284" s="18"/>
    </row>
    <row r="285" spans="1:6">
      <c r="A285"/>
      <c r="B285"/>
      <c r="C285" s="18"/>
      <c r="D285" s="18"/>
      <c r="E285" s="18"/>
      <c r="F285" s="18"/>
    </row>
    <row r="286" spans="1:6">
      <c r="A286"/>
      <c r="B286"/>
      <c r="C286" s="18"/>
      <c r="D286" s="18"/>
      <c r="E286" s="18"/>
      <c r="F286" s="18"/>
    </row>
    <row r="287" spans="1:6">
      <c r="A287"/>
      <c r="B287"/>
      <c r="C287" s="18"/>
      <c r="D287" s="18"/>
      <c r="E287" s="18"/>
      <c r="F287" s="18"/>
    </row>
    <row r="288" spans="1:6">
      <c r="A288"/>
      <c r="B288"/>
      <c r="C288" s="18"/>
      <c r="D288" s="18"/>
      <c r="E288" s="18"/>
      <c r="F288" s="18"/>
    </row>
    <row r="289" spans="1:6">
      <c r="A289"/>
      <c r="B289"/>
      <c r="C289" s="18"/>
      <c r="D289" s="18"/>
      <c r="E289" s="18"/>
      <c r="F289" s="18"/>
    </row>
    <row r="290" spans="1:6">
      <c r="A290"/>
      <c r="B290"/>
      <c r="C290" s="18"/>
      <c r="D290" s="18"/>
      <c r="E290" s="18"/>
      <c r="F290" s="18"/>
    </row>
    <row r="291" spans="1:6">
      <c r="A291"/>
      <c r="B291"/>
      <c r="C291" s="18"/>
      <c r="D291" s="18"/>
      <c r="E291" s="18"/>
      <c r="F291" s="18"/>
    </row>
    <row r="292" spans="1:6">
      <c r="A292"/>
      <c r="B292"/>
      <c r="C292" s="18"/>
      <c r="D292" s="18"/>
      <c r="E292" s="18"/>
      <c r="F292" s="18"/>
    </row>
    <row r="293" spans="1:6">
      <c r="A293"/>
      <c r="B293"/>
      <c r="C293" s="18"/>
      <c r="D293" s="18"/>
      <c r="E293" s="18"/>
      <c r="F293" s="18"/>
    </row>
    <row r="294" spans="1:6">
      <c r="A294"/>
      <c r="B294"/>
      <c r="C294" s="18"/>
      <c r="D294" s="18"/>
      <c r="E294" s="18"/>
      <c r="F294" s="18"/>
    </row>
    <row r="295" spans="1:6">
      <c r="A295"/>
      <c r="B295"/>
      <c r="C295" s="18"/>
      <c r="D295" s="18"/>
      <c r="E295" s="18"/>
      <c r="F295" s="18"/>
    </row>
    <row r="296" spans="1:6">
      <c r="A296"/>
      <c r="B296"/>
      <c r="C296" s="18"/>
      <c r="D296" s="18"/>
      <c r="E296" s="18"/>
      <c r="F296" s="18"/>
    </row>
    <row r="297" spans="1:6">
      <c r="A297"/>
      <c r="B297"/>
      <c r="C297" s="18"/>
      <c r="D297" s="18"/>
      <c r="E297" s="18"/>
      <c r="F297" s="18"/>
    </row>
    <row r="298" spans="1:6">
      <c r="A298"/>
      <c r="B298"/>
      <c r="C298" s="18"/>
      <c r="D298" s="18"/>
      <c r="E298" s="18"/>
      <c r="F298" s="18"/>
    </row>
    <row r="299" spans="1:6">
      <c r="A299"/>
      <c r="B299"/>
      <c r="C299" s="18"/>
      <c r="D299" s="18"/>
      <c r="E299" s="18"/>
      <c r="F299" s="18"/>
    </row>
    <row r="300" spans="1:6">
      <c r="A300"/>
      <c r="B300"/>
      <c r="C300" s="18"/>
      <c r="D300" s="18"/>
      <c r="E300" s="18"/>
      <c r="F300" s="18"/>
    </row>
    <row r="301" spans="1:6">
      <c r="A301"/>
      <c r="B301"/>
      <c r="C301" s="18"/>
      <c r="D301" s="18"/>
      <c r="E301" s="18"/>
      <c r="F301" s="18"/>
    </row>
    <row r="302" spans="1:6">
      <c r="A302"/>
      <c r="B302"/>
      <c r="C302" s="18"/>
      <c r="D302" s="18"/>
      <c r="E302" s="18"/>
      <c r="F302" s="18"/>
    </row>
    <row r="303" spans="1:6">
      <c r="A303"/>
      <c r="B303"/>
      <c r="C303" s="18"/>
      <c r="D303" s="18"/>
      <c r="E303" s="18"/>
      <c r="F303" s="18"/>
    </row>
    <row r="304" spans="1:6">
      <c r="A304"/>
      <c r="B304"/>
      <c r="C304" s="18"/>
      <c r="D304" s="18"/>
      <c r="E304" s="18"/>
      <c r="F304" s="18"/>
    </row>
    <row r="305" spans="1:6">
      <c r="A305"/>
      <c r="B305"/>
      <c r="C305" s="18"/>
      <c r="D305" s="18"/>
      <c r="E305" s="18"/>
      <c r="F305" s="18"/>
    </row>
    <row r="306" spans="1:6">
      <c r="A306"/>
      <c r="B306"/>
      <c r="C306" s="18"/>
      <c r="D306" s="18"/>
      <c r="E306" s="18"/>
      <c r="F306" s="18"/>
    </row>
    <row r="307" spans="1:6">
      <c r="A307"/>
      <c r="B307"/>
      <c r="C307" s="18"/>
      <c r="D307" s="18"/>
      <c r="E307" s="18"/>
      <c r="F307" s="18"/>
    </row>
    <row r="308" spans="1:6">
      <c r="A308"/>
      <c r="B308"/>
      <c r="C308" s="18"/>
      <c r="D308" s="18"/>
      <c r="E308" s="18"/>
      <c r="F308" s="18"/>
    </row>
    <row r="309" spans="1:6">
      <c r="A309"/>
      <c r="B309"/>
      <c r="C309" s="18"/>
      <c r="D309" s="18"/>
      <c r="E309" s="18"/>
      <c r="F309" s="18"/>
    </row>
    <row r="310" spans="1:6">
      <c r="A310"/>
      <c r="B310"/>
      <c r="C310" s="18"/>
      <c r="D310" s="18"/>
      <c r="E310" s="18"/>
      <c r="F310" s="18"/>
    </row>
    <row r="311" spans="1:6">
      <c r="A311"/>
      <c r="B311"/>
      <c r="C311" s="18"/>
      <c r="D311" s="18"/>
      <c r="E311" s="18"/>
      <c r="F311" s="18"/>
    </row>
    <row r="312" spans="1:6">
      <c r="A312"/>
      <c r="B312"/>
      <c r="C312" s="18"/>
      <c r="D312" s="18"/>
      <c r="E312" s="18"/>
      <c r="F312" s="18"/>
    </row>
    <row r="313" spans="1:6">
      <c r="A313"/>
      <c r="B313"/>
      <c r="C313" s="18"/>
      <c r="D313" s="18"/>
      <c r="E313" s="18"/>
      <c r="F313" s="18"/>
    </row>
    <row r="314" spans="1:6">
      <c r="A314"/>
      <c r="B314"/>
      <c r="C314" s="18"/>
      <c r="D314" s="18"/>
      <c r="E314" s="18"/>
      <c r="F314" s="18"/>
    </row>
    <row r="315" spans="1:6">
      <c r="A315"/>
      <c r="B315"/>
      <c r="C315" s="18"/>
      <c r="D315" s="18"/>
      <c r="E315" s="18"/>
      <c r="F315" s="18"/>
    </row>
    <row r="316" spans="1:6">
      <c r="A316"/>
      <c r="B316"/>
      <c r="C316" s="18"/>
      <c r="D316" s="18"/>
      <c r="E316" s="18"/>
      <c r="F316" s="18"/>
    </row>
    <row r="317" spans="1:6">
      <c r="A317"/>
      <c r="B317"/>
      <c r="C317" s="18"/>
      <c r="D317" s="18"/>
      <c r="E317" s="18"/>
      <c r="F317" s="18"/>
    </row>
    <row r="318" spans="1:6">
      <c r="A318"/>
      <c r="B318"/>
      <c r="C318" s="18"/>
      <c r="D318" s="18"/>
      <c r="E318" s="18"/>
      <c r="F318" s="18"/>
    </row>
    <row r="319" spans="1:6">
      <c r="A319"/>
      <c r="B319"/>
      <c r="C319" s="18"/>
      <c r="D319" s="18"/>
      <c r="E319" s="18"/>
      <c r="F319" s="18"/>
    </row>
    <row r="320" spans="1:6">
      <c r="A320"/>
      <c r="B320"/>
      <c r="C320" s="18"/>
      <c r="D320" s="18"/>
      <c r="E320" s="18"/>
      <c r="F320" s="18"/>
    </row>
    <row r="321" spans="1:6">
      <c r="A321"/>
      <c r="B321"/>
      <c r="C321" s="18"/>
      <c r="D321" s="18"/>
      <c r="E321" s="18"/>
      <c r="F321" s="18"/>
    </row>
    <row r="322" spans="1:6">
      <c r="A322"/>
      <c r="B322"/>
      <c r="C322" s="18"/>
      <c r="D322" s="18"/>
      <c r="E322" s="18"/>
      <c r="F322" s="18"/>
    </row>
    <row r="323" spans="1:6">
      <c r="A323"/>
      <c r="B323"/>
      <c r="C323" s="18"/>
      <c r="D323" s="18"/>
      <c r="E323" s="18"/>
      <c r="F323" s="18"/>
    </row>
    <row r="324" spans="1:6">
      <c r="A324"/>
      <c r="B324"/>
      <c r="C324" s="18"/>
      <c r="D324" s="18"/>
      <c r="E324" s="18"/>
      <c r="F324" s="18"/>
    </row>
    <row r="325" spans="1:6">
      <c r="A325"/>
      <c r="B325"/>
      <c r="C325" s="18"/>
      <c r="D325" s="18"/>
      <c r="E325" s="18"/>
      <c r="F325" s="18"/>
    </row>
    <row r="326" spans="1:6">
      <c r="A326"/>
      <c r="B326"/>
      <c r="C326" s="18"/>
      <c r="D326" s="18"/>
      <c r="E326" s="18"/>
      <c r="F326" s="18"/>
    </row>
    <row r="327" spans="1:6">
      <c r="A327"/>
      <c r="B327"/>
      <c r="C327" s="18"/>
      <c r="D327" s="18"/>
      <c r="E327" s="18"/>
      <c r="F327" s="18"/>
    </row>
    <row r="328" spans="1:6">
      <c r="A328"/>
      <c r="B328"/>
      <c r="C328" s="18"/>
      <c r="D328" s="18"/>
      <c r="E328" s="18"/>
      <c r="F328" s="18"/>
    </row>
    <row r="329" spans="1:6">
      <c r="A329"/>
      <c r="B329"/>
      <c r="C329" s="18"/>
      <c r="D329" s="18"/>
      <c r="E329" s="18"/>
      <c r="F329" s="18"/>
    </row>
    <row r="330" spans="1:6">
      <c r="A330"/>
      <c r="B330"/>
      <c r="C330" s="18"/>
      <c r="D330" s="18"/>
      <c r="E330" s="18"/>
      <c r="F330" s="18"/>
    </row>
    <row r="331" spans="1:6">
      <c r="A331"/>
      <c r="B331"/>
      <c r="C331" s="18"/>
      <c r="D331" s="18"/>
      <c r="E331" s="18"/>
      <c r="F331" s="18"/>
    </row>
    <row r="332" spans="1:6">
      <c r="A332"/>
      <c r="B332"/>
      <c r="C332" s="18"/>
      <c r="D332" s="18"/>
      <c r="E332" s="18"/>
      <c r="F332" s="18"/>
    </row>
    <row r="333" spans="1:6">
      <c r="A333"/>
      <c r="B333"/>
      <c r="C333" s="18"/>
      <c r="D333" s="18"/>
      <c r="E333" s="18"/>
      <c r="F333" s="18"/>
    </row>
    <row r="334" spans="1:6">
      <c r="A334"/>
      <c r="B334"/>
      <c r="C334" s="18"/>
      <c r="D334" s="18"/>
      <c r="E334" s="18"/>
      <c r="F334" s="18"/>
    </row>
    <row r="335" spans="1:6">
      <c r="A335"/>
      <c r="B335"/>
      <c r="C335" s="18"/>
      <c r="D335" s="18"/>
      <c r="E335" s="18"/>
      <c r="F335" s="18"/>
    </row>
    <row r="336" spans="1:6">
      <c r="A336"/>
      <c r="B336"/>
      <c r="C336" s="18"/>
      <c r="D336" s="18"/>
      <c r="E336" s="18"/>
      <c r="F336" s="18"/>
    </row>
    <row r="337" spans="1:6">
      <c r="A337"/>
      <c r="B337"/>
      <c r="C337" s="18"/>
      <c r="D337" s="18"/>
      <c r="E337" s="18"/>
      <c r="F337" s="18"/>
    </row>
    <row r="338" spans="1:6">
      <c r="A338"/>
      <c r="B338"/>
      <c r="C338" s="18"/>
      <c r="D338" s="18"/>
      <c r="E338" s="18"/>
      <c r="F338" s="18"/>
    </row>
    <row r="339" spans="1:6">
      <c r="A339"/>
      <c r="B339"/>
      <c r="C339" s="18"/>
      <c r="D339" s="18"/>
      <c r="E339" s="18"/>
      <c r="F339" s="18"/>
    </row>
    <row r="340" spans="1:6">
      <c r="A340"/>
      <c r="B340"/>
      <c r="C340" s="18"/>
      <c r="D340" s="18"/>
      <c r="E340" s="18"/>
      <c r="F340" s="18"/>
    </row>
    <row r="341" spans="1:6">
      <c r="A341"/>
      <c r="B341"/>
      <c r="C341" s="18"/>
      <c r="D341" s="18"/>
      <c r="E341" s="18"/>
      <c r="F341" s="18"/>
    </row>
    <row r="342" spans="1:6">
      <c r="A342"/>
      <c r="B342"/>
      <c r="C342" s="18"/>
      <c r="D342" s="18"/>
      <c r="E342" s="18"/>
      <c r="F342" s="18"/>
    </row>
    <row r="343" spans="1:6">
      <c r="A343"/>
      <c r="B343"/>
      <c r="C343" s="18"/>
      <c r="D343" s="18"/>
      <c r="E343" s="18"/>
      <c r="F343" s="18"/>
    </row>
    <row r="344" spans="1:6">
      <c r="A344"/>
      <c r="B344"/>
      <c r="C344" s="18"/>
      <c r="D344" s="18"/>
      <c r="E344" s="18"/>
      <c r="F344" s="18"/>
    </row>
    <row r="345" spans="1:6">
      <c r="A345"/>
      <c r="B345"/>
      <c r="C345" s="18"/>
      <c r="D345" s="18"/>
      <c r="E345" s="18"/>
      <c r="F345" s="18"/>
    </row>
    <row r="346" spans="1:6">
      <c r="A346"/>
      <c r="B346"/>
      <c r="C346" s="18"/>
      <c r="D346" s="18"/>
      <c r="E346" s="18"/>
      <c r="F346" s="18"/>
    </row>
    <row r="347" spans="1:6">
      <c r="A347"/>
      <c r="B347"/>
      <c r="C347" s="18"/>
      <c r="D347" s="18"/>
      <c r="E347" s="18"/>
      <c r="F347" s="18"/>
    </row>
    <row r="348" spans="1:6">
      <c r="A348"/>
      <c r="B348"/>
      <c r="C348" s="18"/>
      <c r="D348" s="18"/>
      <c r="E348" s="18"/>
      <c r="F348" s="18"/>
    </row>
    <row r="349" spans="1:6">
      <c r="A349"/>
      <c r="B349"/>
      <c r="C349" s="18"/>
      <c r="D349" s="18"/>
      <c r="E349" s="18"/>
      <c r="F349" s="18"/>
    </row>
    <row r="350" spans="1:6">
      <c r="A350"/>
      <c r="B350"/>
      <c r="C350" s="18"/>
      <c r="D350" s="18"/>
      <c r="E350" s="18"/>
      <c r="F350" s="18"/>
    </row>
    <row r="351" spans="1:6">
      <c r="A351"/>
      <c r="B351"/>
      <c r="C351" s="18"/>
      <c r="D351" s="18"/>
      <c r="E351" s="18"/>
      <c r="F351" s="18"/>
    </row>
    <row r="352" spans="1:6">
      <c r="A352"/>
      <c r="B352"/>
      <c r="C352" s="18"/>
      <c r="D352" s="18"/>
      <c r="E352" s="18"/>
      <c r="F352" s="18"/>
    </row>
    <row r="353" spans="1:6">
      <c r="A353"/>
      <c r="B353"/>
      <c r="C353" s="18"/>
      <c r="D353" s="18"/>
      <c r="E353" s="18"/>
      <c r="F353" s="18"/>
    </row>
    <row r="354" spans="1:6">
      <c r="A354"/>
      <c r="B354"/>
      <c r="C354" s="18"/>
      <c r="D354" s="18"/>
      <c r="E354" s="18"/>
      <c r="F354" s="18"/>
    </row>
    <row r="355" spans="1:6">
      <c r="A355"/>
      <c r="B355"/>
      <c r="C355" s="18"/>
      <c r="D355" s="18"/>
      <c r="E355" s="18"/>
      <c r="F355" s="18"/>
    </row>
    <row r="356" spans="1:6">
      <c r="A356"/>
      <c r="B356"/>
      <c r="C356" s="18"/>
      <c r="D356" s="18"/>
      <c r="E356" s="18"/>
      <c r="F356" s="18"/>
    </row>
    <row r="357" spans="1:6">
      <c r="A357"/>
      <c r="B357"/>
      <c r="C357" s="18"/>
      <c r="D357" s="18"/>
      <c r="E357" s="18"/>
      <c r="F357" s="18"/>
    </row>
    <row r="358" spans="1:6">
      <c r="A358"/>
      <c r="B358"/>
      <c r="C358" s="18"/>
      <c r="D358" s="18"/>
      <c r="E358" s="18"/>
      <c r="F358" s="18"/>
    </row>
    <row r="359" spans="1:6">
      <c r="A359"/>
      <c r="B359"/>
      <c r="C359" s="18"/>
      <c r="D359" s="18"/>
      <c r="E359" s="18"/>
      <c r="F359" s="18"/>
    </row>
    <row r="360" spans="1:6">
      <c r="A360"/>
      <c r="B360"/>
      <c r="C360" s="18"/>
      <c r="D360" s="18"/>
      <c r="E360" s="18"/>
      <c r="F360" s="18"/>
    </row>
    <row r="361" spans="1:6">
      <c r="A361"/>
      <c r="B361"/>
      <c r="C361" s="18"/>
      <c r="D361" s="18"/>
      <c r="E361" s="18"/>
      <c r="F361" s="18"/>
    </row>
    <row r="362" spans="1:6">
      <c r="A362"/>
      <c r="B362"/>
      <c r="C362" s="18"/>
      <c r="D362" s="18"/>
      <c r="E362" s="18"/>
      <c r="F362" s="18"/>
    </row>
    <row r="363" spans="1:6">
      <c r="A363"/>
      <c r="B363"/>
      <c r="C363" s="18"/>
      <c r="D363" s="18"/>
      <c r="E363" s="18"/>
      <c r="F363" s="18"/>
    </row>
    <row r="364" spans="1:6">
      <c r="A364"/>
      <c r="B364"/>
      <c r="C364" s="18"/>
      <c r="D364" s="18"/>
      <c r="E364" s="18"/>
      <c r="F364" s="18"/>
    </row>
    <row r="365" spans="1:6">
      <c r="A365"/>
      <c r="B365"/>
      <c r="C365" s="18"/>
      <c r="D365" s="18"/>
      <c r="E365" s="18"/>
      <c r="F365" s="18"/>
    </row>
    <row r="366" spans="1:6">
      <c r="A366"/>
      <c r="B366"/>
      <c r="C366" s="18"/>
      <c r="D366" s="18"/>
      <c r="E366" s="18"/>
      <c r="F366" s="18"/>
    </row>
    <row r="367" spans="1:6">
      <c r="A367"/>
      <c r="B367"/>
      <c r="C367" s="18"/>
      <c r="D367" s="18"/>
      <c r="E367" s="18"/>
      <c r="F367" s="18"/>
    </row>
    <row r="368" spans="1:6">
      <c r="A368"/>
      <c r="B368"/>
      <c r="C368" s="18"/>
      <c r="D368" s="18"/>
      <c r="E368" s="18"/>
      <c r="F368" s="18"/>
    </row>
    <row r="369" spans="1:6">
      <c r="A369"/>
      <c r="B369"/>
      <c r="C369" s="18"/>
      <c r="D369" s="18"/>
      <c r="E369" s="18"/>
      <c r="F369" s="18"/>
    </row>
    <row r="370" spans="1:6">
      <c r="A370"/>
      <c r="B370"/>
      <c r="C370" s="18"/>
      <c r="D370" s="18"/>
      <c r="E370" s="18"/>
      <c r="F370" s="18"/>
    </row>
    <row r="371" spans="1:6">
      <c r="A371"/>
      <c r="B371"/>
      <c r="C371" s="18"/>
      <c r="D371" s="18"/>
      <c r="E371" s="18"/>
      <c r="F371" s="18"/>
    </row>
    <row r="372" spans="1:6">
      <c r="A372"/>
      <c r="B372"/>
      <c r="C372" s="18"/>
      <c r="D372" s="18"/>
      <c r="E372" s="18"/>
      <c r="F372" s="18"/>
    </row>
    <row r="373" spans="1:6">
      <c r="A373"/>
      <c r="B373"/>
      <c r="C373" s="18"/>
      <c r="D373" s="18"/>
      <c r="E373" s="18"/>
      <c r="F373" s="18"/>
    </row>
    <row r="374" spans="1:6">
      <c r="A374"/>
      <c r="B374"/>
      <c r="C374" s="18"/>
      <c r="D374" s="18"/>
      <c r="E374" s="18"/>
      <c r="F374" s="18"/>
    </row>
    <row r="375" spans="1:6">
      <c r="A375"/>
      <c r="B375"/>
      <c r="C375" s="18"/>
      <c r="D375" s="18"/>
      <c r="E375" s="18"/>
      <c r="F375" s="18"/>
    </row>
    <row r="376" spans="1:6">
      <c r="A376"/>
      <c r="B376"/>
      <c r="C376" s="18"/>
      <c r="D376" s="18"/>
      <c r="E376" s="18"/>
      <c r="F376" s="18"/>
    </row>
    <row r="377" spans="1:6">
      <c r="A377"/>
      <c r="B377"/>
      <c r="C377" s="18"/>
      <c r="D377" s="18"/>
      <c r="E377" s="18"/>
      <c r="F377" s="18"/>
    </row>
    <row r="378" spans="1:6">
      <c r="A378"/>
      <c r="B378"/>
      <c r="C378" s="18"/>
      <c r="D378" s="18"/>
      <c r="E378" s="18"/>
      <c r="F378" s="18"/>
    </row>
    <row r="379" spans="1:6">
      <c r="A379"/>
      <c r="B379"/>
      <c r="C379" s="18"/>
      <c r="D379" s="18"/>
      <c r="E379" s="18"/>
      <c r="F379" s="18"/>
    </row>
    <row r="380" spans="1:6">
      <c r="A380"/>
      <c r="B380"/>
      <c r="C380" s="18"/>
      <c r="D380" s="18"/>
      <c r="E380" s="18"/>
      <c r="F380" s="18"/>
    </row>
    <row r="381" spans="1:6">
      <c r="A381"/>
      <c r="B381"/>
      <c r="C381" s="18"/>
      <c r="D381" s="18"/>
      <c r="E381" s="18"/>
      <c r="F381" s="18"/>
    </row>
    <row r="382" spans="1:6">
      <c r="A382"/>
      <c r="B382"/>
      <c r="C382" s="18"/>
      <c r="D382" s="18"/>
      <c r="E382" s="18"/>
      <c r="F382" s="18"/>
    </row>
    <row r="383" spans="1:6">
      <c r="A383"/>
      <c r="B383"/>
      <c r="C383" s="18"/>
      <c r="D383" s="18"/>
      <c r="E383" s="18"/>
      <c r="F383" s="18"/>
    </row>
    <row r="384" spans="1:6">
      <c r="A384"/>
      <c r="B384"/>
      <c r="C384" s="18"/>
      <c r="D384" s="18"/>
      <c r="E384" s="18"/>
      <c r="F384" s="18"/>
    </row>
    <row r="385" spans="1:6">
      <c r="A385"/>
      <c r="B385"/>
      <c r="C385" s="18"/>
      <c r="D385" s="18"/>
      <c r="E385" s="18"/>
      <c r="F385" s="18"/>
    </row>
    <row r="386" spans="1:6">
      <c r="A386"/>
      <c r="B386"/>
      <c r="C386" s="18"/>
      <c r="D386" s="18"/>
      <c r="E386" s="18"/>
      <c r="F386" s="18"/>
    </row>
    <row r="387" spans="1:6">
      <c r="A387"/>
      <c r="B387"/>
      <c r="C387" s="18"/>
      <c r="D387" s="18"/>
      <c r="E387" s="18"/>
      <c r="F387" s="18"/>
    </row>
    <row r="388" spans="1:6">
      <c r="A388"/>
      <c r="B388"/>
      <c r="C388" s="18"/>
      <c r="D388" s="18"/>
      <c r="E388" s="18"/>
      <c r="F388" s="18"/>
    </row>
    <row r="389" spans="1:6">
      <c r="A389"/>
      <c r="B389"/>
      <c r="C389" s="18"/>
      <c r="D389" s="18"/>
      <c r="E389" s="18"/>
      <c r="F389" s="18"/>
    </row>
    <row r="390" spans="1:6">
      <c r="A390"/>
      <c r="B390"/>
      <c r="C390" s="18"/>
      <c r="D390" s="18"/>
      <c r="E390" s="18"/>
      <c r="F390" s="18"/>
    </row>
    <row r="391" spans="1:6">
      <c r="A391"/>
      <c r="B391"/>
      <c r="C391" s="18"/>
      <c r="D391" s="18"/>
      <c r="E391" s="18"/>
      <c r="F391" s="18"/>
    </row>
    <row r="392" spans="1:6">
      <c r="A392"/>
      <c r="B392"/>
      <c r="C392" s="18"/>
      <c r="D392" s="18"/>
      <c r="E392" s="18"/>
      <c r="F392" s="18"/>
    </row>
    <row r="393" spans="1:6">
      <c r="A393"/>
      <c r="B393"/>
      <c r="C393" s="18"/>
      <c r="D393" s="18"/>
      <c r="E393" s="18"/>
      <c r="F393" s="18"/>
    </row>
    <row r="394" spans="1:6">
      <c r="A394"/>
      <c r="B394"/>
      <c r="C394" s="18"/>
      <c r="D394" s="18"/>
      <c r="E394" s="18"/>
      <c r="F394" s="18"/>
    </row>
    <row r="395" spans="1:6">
      <c r="A395"/>
      <c r="B395"/>
      <c r="C395" s="18"/>
      <c r="D395" s="18"/>
      <c r="E395" s="18"/>
      <c r="F395" s="18"/>
    </row>
    <row r="396" spans="1:6">
      <c r="A396"/>
      <c r="B396"/>
      <c r="C396" s="18"/>
      <c r="D396" s="18"/>
      <c r="E396" s="18"/>
      <c r="F396" s="18"/>
    </row>
    <row r="397" spans="1:6">
      <c r="A397"/>
      <c r="B397"/>
      <c r="C397" s="18"/>
      <c r="D397" s="18"/>
      <c r="E397" s="18"/>
      <c r="F397" s="18"/>
    </row>
    <row r="398" spans="1:6">
      <c r="A398"/>
      <c r="B398"/>
      <c r="C398" s="18"/>
      <c r="D398" s="18"/>
      <c r="E398" s="18"/>
      <c r="F398" s="18"/>
    </row>
    <row r="399" spans="1:6">
      <c r="A399"/>
      <c r="B399"/>
      <c r="C399" s="18"/>
      <c r="D399" s="18"/>
      <c r="E399" s="18"/>
      <c r="F399" s="18"/>
    </row>
    <row r="400" spans="1:6">
      <c r="A400"/>
      <c r="B400"/>
      <c r="C400" s="18"/>
      <c r="D400" s="18"/>
      <c r="E400" s="18"/>
      <c r="F400" s="18"/>
    </row>
    <row r="401" spans="1:6">
      <c r="A401"/>
      <c r="B401"/>
      <c r="C401" s="18"/>
      <c r="D401" s="18"/>
      <c r="E401" s="18"/>
      <c r="F401" s="18"/>
    </row>
    <row r="402" spans="1:6">
      <c r="A402"/>
      <c r="B402"/>
      <c r="C402" s="18"/>
      <c r="D402" s="18"/>
      <c r="E402" s="18"/>
      <c r="F402" s="18"/>
    </row>
    <row r="403" spans="1:6">
      <c r="A403"/>
      <c r="B403"/>
      <c r="C403" s="18"/>
      <c r="D403" s="18"/>
      <c r="E403" s="18"/>
      <c r="F403" s="18"/>
    </row>
    <row r="404" spans="1:6">
      <c r="A404"/>
      <c r="B404"/>
      <c r="C404" s="18"/>
      <c r="D404" s="18"/>
      <c r="E404" s="18"/>
      <c r="F404" s="18"/>
    </row>
    <row r="405" spans="1:6">
      <c r="A405"/>
      <c r="B405"/>
      <c r="C405" s="18"/>
      <c r="D405" s="18"/>
      <c r="E405" s="18"/>
      <c r="F405" s="18"/>
    </row>
    <row r="406" spans="1:6">
      <c r="A406"/>
      <c r="B406"/>
      <c r="C406" s="18"/>
      <c r="D406" s="18"/>
      <c r="E406" s="18"/>
      <c r="F406" s="18"/>
    </row>
    <row r="407" spans="1:6">
      <c r="A407"/>
      <c r="B407"/>
      <c r="C407" s="18"/>
      <c r="D407" s="18"/>
      <c r="E407" s="18"/>
      <c r="F407" s="18"/>
    </row>
    <row r="408" spans="1:6">
      <c r="A408"/>
      <c r="B408"/>
      <c r="C408" s="18"/>
      <c r="D408" s="18"/>
      <c r="E408" s="18"/>
      <c r="F408" s="18"/>
    </row>
    <row r="409" spans="1:6">
      <c r="A409"/>
      <c r="B409"/>
      <c r="C409" s="18"/>
      <c r="D409" s="18"/>
      <c r="E409" s="18"/>
      <c r="F409" s="18"/>
    </row>
    <row r="410" spans="1:6">
      <c r="A410"/>
      <c r="B410"/>
      <c r="C410" s="18"/>
      <c r="D410" s="18"/>
      <c r="E410" s="18"/>
      <c r="F410" s="18"/>
    </row>
    <row r="411" spans="1:6">
      <c r="A411"/>
      <c r="B411"/>
      <c r="C411" s="18"/>
      <c r="D411" s="18"/>
      <c r="E411" s="18"/>
      <c r="F411" s="18"/>
    </row>
    <row r="412" spans="1:6">
      <c r="A412"/>
      <c r="B412"/>
      <c r="C412" s="18"/>
      <c r="D412" s="18"/>
      <c r="E412" s="18"/>
      <c r="F412" s="18"/>
    </row>
    <row r="413" spans="1:6">
      <c r="A413"/>
      <c r="B413"/>
      <c r="C413" s="18"/>
      <c r="D413" s="18"/>
      <c r="E413" s="18"/>
      <c r="F413" s="18"/>
    </row>
    <row r="414" spans="1:6">
      <c r="A414"/>
      <c r="B414"/>
      <c r="C414" s="18"/>
      <c r="D414" s="18"/>
      <c r="E414" s="18"/>
      <c r="F414" s="18"/>
    </row>
    <row r="415" spans="1:6">
      <c r="A415"/>
      <c r="B415"/>
      <c r="C415" s="18"/>
      <c r="D415" s="18"/>
      <c r="E415" s="18"/>
      <c r="F415" s="18"/>
    </row>
    <row r="416" spans="1:6">
      <c r="A416"/>
      <c r="B416"/>
      <c r="C416" s="18"/>
      <c r="D416" s="18"/>
      <c r="E416" s="18"/>
      <c r="F416" s="18"/>
    </row>
    <row r="417" spans="1:6">
      <c r="A417"/>
      <c r="B417"/>
      <c r="C417" s="18"/>
      <c r="D417" s="18"/>
      <c r="E417" s="18"/>
      <c r="F417" s="18"/>
    </row>
    <row r="418" spans="1:6">
      <c r="A418"/>
      <c r="B418"/>
      <c r="C418" s="18"/>
      <c r="D418" s="18"/>
      <c r="E418" s="18"/>
      <c r="F418" s="18"/>
    </row>
    <row r="419" spans="1:6">
      <c r="A419"/>
      <c r="B419"/>
      <c r="C419" s="18"/>
      <c r="D419" s="18"/>
      <c r="E419" s="18"/>
      <c r="F419" s="18"/>
    </row>
    <row r="420" spans="1:6">
      <c r="A420"/>
      <c r="B420"/>
      <c r="C420" s="18"/>
      <c r="D420" s="18"/>
      <c r="E420" s="18"/>
      <c r="F420" s="18"/>
    </row>
    <row r="421" spans="1:6">
      <c r="A421"/>
      <c r="B421"/>
      <c r="C421" s="18"/>
      <c r="D421" s="18"/>
      <c r="E421" s="18"/>
      <c r="F421" s="18"/>
    </row>
    <row r="422" spans="1:6">
      <c r="A422"/>
      <c r="B422"/>
      <c r="C422" s="18"/>
      <c r="D422" s="18"/>
      <c r="E422" s="18"/>
      <c r="F422" s="18"/>
    </row>
    <row r="423" spans="1:6">
      <c r="A423"/>
      <c r="B423"/>
      <c r="C423" s="18"/>
      <c r="D423" s="18"/>
      <c r="E423" s="18"/>
      <c r="F423" s="18"/>
    </row>
    <row r="424" spans="1:6">
      <c r="A424"/>
      <c r="B424"/>
      <c r="C424" s="18"/>
      <c r="D424" s="18"/>
      <c r="E424" s="18"/>
      <c r="F424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6FE9-3320-40F3-9816-CF7971220AD7}">
  <dimension ref="A1:F131"/>
  <sheetViews>
    <sheetView topLeftCell="A110" workbookViewId="0">
      <selection activeCell="J131" sqref="J131"/>
    </sheetView>
  </sheetViews>
  <sheetFormatPr defaultRowHeight="14.45"/>
  <cols>
    <col min="1" max="1" width="10.7109375" bestFit="1" customWidth="1"/>
    <col min="2" max="2" width="80.7109375" bestFit="1" customWidth="1"/>
    <col min="3" max="3" width="10.7109375" bestFit="1" customWidth="1"/>
    <col min="4" max="4" width="8.7109375" customWidth="1"/>
    <col min="5" max="6" width="10.7109375" bestFit="1" customWidth="1"/>
  </cols>
  <sheetData>
    <row r="1" spans="1:6">
      <c r="A1" t="s">
        <v>268</v>
      </c>
      <c r="B1" t="s">
        <v>269</v>
      </c>
      <c r="C1" t="s">
        <v>235</v>
      </c>
      <c r="D1" t="s">
        <v>270</v>
      </c>
      <c r="E1" t="s">
        <v>236</v>
      </c>
      <c r="F1" t="s">
        <v>272</v>
      </c>
    </row>
    <row r="2" spans="1:6">
      <c r="A2" s="36" t="s">
        <v>47</v>
      </c>
      <c r="B2" t="s">
        <v>704</v>
      </c>
      <c r="C2">
        <v>102</v>
      </c>
      <c r="D2">
        <v>96</v>
      </c>
      <c r="E2">
        <v>91</v>
      </c>
      <c r="F2">
        <v>289</v>
      </c>
    </row>
    <row r="3" spans="1:6">
      <c r="A3" s="13" t="s">
        <v>49</v>
      </c>
      <c r="B3" t="s">
        <v>50</v>
      </c>
      <c r="C3">
        <v>8367</v>
      </c>
      <c r="D3">
        <v>8343</v>
      </c>
      <c r="E3">
        <v>8343</v>
      </c>
      <c r="F3">
        <v>25053</v>
      </c>
    </row>
    <row r="4" spans="1:6">
      <c r="A4" s="13" t="s">
        <v>273</v>
      </c>
      <c r="B4" t="s">
        <v>705</v>
      </c>
      <c r="C4" t="s">
        <v>459</v>
      </c>
      <c r="D4" t="s">
        <v>458</v>
      </c>
      <c r="E4">
        <v>23</v>
      </c>
      <c r="F4" t="s">
        <v>706</v>
      </c>
    </row>
    <row r="5" spans="1:6">
      <c r="A5" s="13" t="s">
        <v>278</v>
      </c>
      <c r="B5" t="s">
        <v>707</v>
      </c>
      <c r="C5" t="s">
        <v>708</v>
      </c>
      <c r="D5" t="s">
        <v>708</v>
      </c>
      <c r="E5">
        <v>10</v>
      </c>
      <c r="F5" t="s">
        <v>709</v>
      </c>
    </row>
    <row r="6" spans="1:6">
      <c r="A6" s="13" t="s">
        <v>283</v>
      </c>
      <c r="B6" t="s">
        <v>710</v>
      </c>
      <c r="C6" t="s">
        <v>711</v>
      </c>
      <c r="D6" t="s">
        <v>712</v>
      </c>
      <c r="E6">
        <v>35</v>
      </c>
      <c r="F6" t="s">
        <v>308</v>
      </c>
    </row>
    <row r="7" spans="1:6">
      <c r="A7" s="13" t="s">
        <v>288</v>
      </c>
      <c r="B7" t="s">
        <v>713</v>
      </c>
      <c r="C7" t="s">
        <v>714</v>
      </c>
      <c r="D7" t="s">
        <v>715</v>
      </c>
      <c r="E7">
        <v>358</v>
      </c>
      <c r="F7" t="s">
        <v>716</v>
      </c>
    </row>
    <row r="8" spans="1:6">
      <c r="A8" s="13" t="s">
        <v>51</v>
      </c>
      <c r="B8" t="s">
        <v>717</v>
      </c>
      <c r="C8" t="s">
        <v>718</v>
      </c>
      <c r="D8" t="s">
        <v>719</v>
      </c>
      <c r="E8">
        <v>66</v>
      </c>
      <c r="F8" t="s">
        <v>720</v>
      </c>
    </row>
    <row r="9" spans="1:6">
      <c r="A9" s="13" t="s">
        <v>296</v>
      </c>
      <c r="B9" t="s">
        <v>721</v>
      </c>
      <c r="C9" t="s">
        <v>722</v>
      </c>
      <c r="D9" t="s">
        <v>711</v>
      </c>
      <c r="E9">
        <v>31</v>
      </c>
      <c r="F9" t="s">
        <v>308</v>
      </c>
    </row>
    <row r="10" spans="1:6">
      <c r="A10" s="13" t="s">
        <v>301</v>
      </c>
      <c r="B10" t="s">
        <v>723</v>
      </c>
      <c r="C10" t="s">
        <v>459</v>
      </c>
      <c r="D10" t="s">
        <v>458</v>
      </c>
      <c r="E10">
        <v>20</v>
      </c>
      <c r="F10" t="s">
        <v>596</v>
      </c>
    </row>
    <row r="11" spans="1:6">
      <c r="A11" s="13" t="s">
        <v>53</v>
      </c>
      <c r="B11" t="s">
        <v>724</v>
      </c>
      <c r="C11" t="s">
        <v>725</v>
      </c>
      <c r="D11" t="s">
        <v>726</v>
      </c>
      <c r="E11">
        <v>133</v>
      </c>
      <c r="F11" t="s">
        <v>661</v>
      </c>
    </row>
    <row r="12" spans="1:6">
      <c r="A12" s="13" t="s">
        <v>308</v>
      </c>
      <c r="B12" t="s">
        <v>727</v>
      </c>
      <c r="C12" t="s">
        <v>728</v>
      </c>
      <c r="D12" t="s">
        <v>533</v>
      </c>
      <c r="E12">
        <v>21</v>
      </c>
      <c r="F12" t="s">
        <v>625</v>
      </c>
    </row>
    <row r="13" spans="1:6">
      <c r="A13" s="13" t="s">
        <v>55</v>
      </c>
      <c r="B13" t="s">
        <v>729</v>
      </c>
      <c r="C13" t="s">
        <v>730</v>
      </c>
      <c r="D13" t="s">
        <v>431</v>
      </c>
      <c r="E13">
        <v>196</v>
      </c>
      <c r="F13" t="s">
        <v>731</v>
      </c>
    </row>
    <row r="14" spans="1:6">
      <c r="A14" s="13" t="s">
        <v>57</v>
      </c>
      <c r="B14" t="s">
        <v>732</v>
      </c>
      <c r="C14" t="s">
        <v>733</v>
      </c>
      <c r="D14" t="s">
        <v>734</v>
      </c>
      <c r="E14">
        <v>37</v>
      </c>
      <c r="F14" t="s">
        <v>69</v>
      </c>
    </row>
    <row r="15" spans="1:6">
      <c r="A15" s="13" t="s">
        <v>59</v>
      </c>
      <c r="B15" t="s">
        <v>60</v>
      </c>
      <c r="C15" t="s">
        <v>735</v>
      </c>
      <c r="D15" t="s">
        <v>622</v>
      </c>
      <c r="E15">
        <v>364</v>
      </c>
      <c r="F15" t="s">
        <v>736</v>
      </c>
    </row>
    <row r="16" spans="1:6">
      <c r="A16" s="13" t="s">
        <v>61</v>
      </c>
      <c r="B16" t="s">
        <v>737</v>
      </c>
      <c r="C16" t="s">
        <v>103</v>
      </c>
      <c r="D16" t="s">
        <v>441</v>
      </c>
      <c r="E16">
        <v>201</v>
      </c>
      <c r="F16" t="s">
        <v>555</v>
      </c>
    </row>
    <row r="17" spans="1:6">
      <c r="A17" s="13" t="s">
        <v>63</v>
      </c>
      <c r="B17" t="s">
        <v>738</v>
      </c>
      <c r="C17" t="s">
        <v>536</v>
      </c>
      <c r="D17" t="s">
        <v>539</v>
      </c>
      <c r="E17">
        <v>6</v>
      </c>
      <c r="F17" t="s">
        <v>537</v>
      </c>
    </row>
    <row r="18" spans="1:6">
      <c r="A18" s="13" t="s">
        <v>328</v>
      </c>
      <c r="B18" t="s">
        <v>739</v>
      </c>
      <c r="C18" t="s">
        <v>740</v>
      </c>
      <c r="D18" t="s">
        <v>741</v>
      </c>
      <c r="E18">
        <v>95</v>
      </c>
      <c r="F18" t="s">
        <v>742</v>
      </c>
    </row>
    <row r="19" spans="1:6">
      <c r="A19" s="13" t="s">
        <v>65</v>
      </c>
      <c r="B19" t="s">
        <v>743</v>
      </c>
      <c r="C19" t="s">
        <v>744</v>
      </c>
      <c r="D19" t="s">
        <v>745</v>
      </c>
      <c r="E19">
        <v>1847</v>
      </c>
      <c r="F19" t="s">
        <v>746</v>
      </c>
    </row>
    <row r="20" spans="1:6">
      <c r="A20" s="13" t="s">
        <v>67</v>
      </c>
      <c r="B20" t="s">
        <v>747</v>
      </c>
      <c r="C20" t="s">
        <v>748</v>
      </c>
      <c r="D20" t="s">
        <v>748</v>
      </c>
      <c r="E20">
        <v>58</v>
      </c>
      <c r="F20" t="s">
        <v>749</v>
      </c>
    </row>
    <row r="21" spans="1:6">
      <c r="A21" s="13" t="s">
        <v>69</v>
      </c>
      <c r="B21" t="s">
        <v>750</v>
      </c>
      <c r="C21" t="s">
        <v>751</v>
      </c>
      <c r="D21" t="s">
        <v>752</v>
      </c>
      <c r="E21">
        <v>55</v>
      </c>
      <c r="F21" t="s">
        <v>753</v>
      </c>
    </row>
    <row r="22" spans="1:6">
      <c r="A22" s="13" t="s">
        <v>341</v>
      </c>
      <c r="B22" t="s">
        <v>754</v>
      </c>
      <c r="C22" t="s">
        <v>755</v>
      </c>
      <c r="D22" t="s">
        <v>594</v>
      </c>
      <c r="E22">
        <v>3</v>
      </c>
      <c r="F22" t="s">
        <v>417</v>
      </c>
    </row>
    <row r="23" spans="1:6">
      <c r="A23" s="13" t="s">
        <v>346</v>
      </c>
      <c r="B23" t="s">
        <v>756</v>
      </c>
      <c r="C23" t="s">
        <v>757</v>
      </c>
      <c r="D23" t="s">
        <v>758</v>
      </c>
      <c r="E23">
        <v>14</v>
      </c>
      <c r="F23" t="s">
        <v>759</v>
      </c>
    </row>
    <row r="24" spans="1:6">
      <c r="A24" s="13" t="s">
        <v>71</v>
      </c>
      <c r="B24" t="s">
        <v>760</v>
      </c>
      <c r="C24" t="s">
        <v>761</v>
      </c>
      <c r="D24" t="s">
        <v>762</v>
      </c>
      <c r="E24">
        <v>54</v>
      </c>
      <c r="F24" t="s">
        <v>531</v>
      </c>
    </row>
    <row r="25" spans="1:6">
      <c r="A25" s="13" t="s">
        <v>73</v>
      </c>
      <c r="B25" t="s">
        <v>763</v>
      </c>
      <c r="C25" t="s">
        <v>459</v>
      </c>
      <c r="D25" t="s">
        <v>458</v>
      </c>
      <c r="E25">
        <v>18</v>
      </c>
      <c r="F25" t="s">
        <v>460</v>
      </c>
    </row>
    <row r="26" spans="1:6">
      <c r="A26" s="13" t="s">
        <v>357</v>
      </c>
      <c r="B26" t="s">
        <v>764</v>
      </c>
      <c r="C26" t="s">
        <v>543</v>
      </c>
      <c r="D26" t="s">
        <v>536</v>
      </c>
      <c r="E26">
        <v>6</v>
      </c>
      <c r="F26" t="s">
        <v>459</v>
      </c>
    </row>
    <row r="27" spans="1:6">
      <c r="A27" s="13" t="s">
        <v>360</v>
      </c>
      <c r="B27" t="s">
        <v>765</v>
      </c>
      <c r="C27" t="s">
        <v>626</v>
      </c>
      <c r="D27" t="s">
        <v>460</v>
      </c>
      <c r="E27">
        <v>54</v>
      </c>
      <c r="F27" t="s">
        <v>766</v>
      </c>
    </row>
    <row r="28" spans="1:6">
      <c r="A28" s="13" t="s">
        <v>75</v>
      </c>
      <c r="B28" t="s">
        <v>767</v>
      </c>
      <c r="C28" t="s">
        <v>431</v>
      </c>
      <c r="D28" t="s">
        <v>99</v>
      </c>
      <c r="E28">
        <v>176</v>
      </c>
      <c r="F28" t="s">
        <v>768</v>
      </c>
    </row>
    <row r="29" spans="1:6">
      <c r="A29" s="13" t="s">
        <v>77</v>
      </c>
      <c r="B29" t="s">
        <v>769</v>
      </c>
      <c r="C29" t="s">
        <v>770</v>
      </c>
      <c r="D29" t="s">
        <v>771</v>
      </c>
      <c r="E29">
        <v>842</v>
      </c>
      <c r="F29" t="s">
        <v>772</v>
      </c>
    </row>
    <row r="30" spans="1:6">
      <c r="A30" s="13" t="s">
        <v>79</v>
      </c>
      <c r="B30" t="s">
        <v>773</v>
      </c>
      <c r="C30" t="s">
        <v>540</v>
      </c>
      <c r="D30" t="s">
        <v>757</v>
      </c>
      <c r="E30">
        <v>12</v>
      </c>
      <c r="F30" t="s">
        <v>774</v>
      </c>
    </row>
    <row r="31" spans="1:6">
      <c r="A31" s="13" t="s">
        <v>374</v>
      </c>
      <c r="B31" t="s">
        <v>775</v>
      </c>
      <c r="C31" t="s">
        <v>776</v>
      </c>
      <c r="D31" t="s">
        <v>757</v>
      </c>
      <c r="E31">
        <v>15</v>
      </c>
      <c r="F31" t="s">
        <v>774</v>
      </c>
    </row>
    <row r="32" spans="1:6">
      <c r="A32" s="13" t="s">
        <v>81</v>
      </c>
      <c r="B32" t="s">
        <v>777</v>
      </c>
      <c r="C32" t="s">
        <v>778</v>
      </c>
      <c r="D32" t="s">
        <v>779</v>
      </c>
      <c r="E32">
        <v>121</v>
      </c>
      <c r="F32" t="s">
        <v>615</v>
      </c>
    </row>
    <row r="33" spans="1:6">
      <c r="A33" s="13" t="s">
        <v>83</v>
      </c>
      <c r="B33" t="s">
        <v>780</v>
      </c>
      <c r="C33" t="s">
        <v>53</v>
      </c>
      <c r="D33" t="s">
        <v>781</v>
      </c>
      <c r="E33">
        <v>90</v>
      </c>
      <c r="F33" t="s">
        <v>179</v>
      </c>
    </row>
    <row r="34" spans="1:6">
      <c r="A34" s="13" t="s">
        <v>385</v>
      </c>
      <c r="B34" t="s">
        <v>782</v>
      </c>
      <c r="C34" t="s">
        <v>783</v>
      </c>
      <c r="D34" t="s">
        <v>758</v>
      </c>
      <c r="E34">
        <v>13</v>
      </c>
      <c r="F34" t="s">
        <v>784</v>
      </c>
    </row>
    <row r="35" spans="1:6">
      <c r="A35" s="13" t="s">
        <v>85</v>
      </c>
      <c r="B35" t="s">
        <v>785</v>
      </c>
      <c r="C35" t="s">
        <v>595</v>
      </c>
      <c r="D35" t="s">
        <v>748</v>
      </c>
      <c r="E35">
        <v>67</v>
      </c>
      <c r="F35" t="s">
        <v>431</v>
      </c>
    </row>
    <row r="36" spans="1:6">
      <c r="A36" s="13" t="s">
        <v>87</v>
      </c>
      <c r="B36" t="s">
        <v>786</v>
      </c>
      <c r="C36" t="s">
        <v>167</v>
      </c>
      <c r="D36" t="s">
        <v>787</v>
      </c>
      <c r="E36">
        <v>260</v>
      </c>
      <c r="F36" t="s">
        <v>788</v>
      </c>
    </row>
    <row r="37" spans="1:6">
      <c r="A37" s="13" t="s">
        <v>395</v>
      </c>
      <c r="B37" t="s">
        <v>789</v>
      </c>
      <c r="C37" t="s">
        <v>538</v>
      </c>
      <c r="D37" t="s">
        <v>538</v>
      </c>
      <c r="E37">
        <v>4</v>
      </c>
      <c r="F37" t="s">
        <v>776</v>
      </c>
    </row>
    <row r="38" spans="1:6">
      <c r="A38" s="13" t="s">
        <v>89</v>
      </c>
      <c r="B38" t="s">
        <v>790</v>
      </c>
      <c r="C38" t="s">
        <v>543</v>
      </c>
      <c r="D38" t="s">
        <v>418</v>
      </c>
      <c r="E38">
        <v>6</v>
      </c>
      <c r="F38" t="s">
        <v>791</v>
      </c>
    </row>
    <row r="39" spans="1:6">
      <c r="A39" s="13" t="s">
        <v>91</v>
      </c>
      <c r="B39" t="s">
        <v>792</v>
      </c>
      <c r="C39" t="s">
        <v>793</v>
      </c>
      <c r="D39" t="s">
        <v>794</v>
      </c>
      <c r="E39">
        <v>78</v>
      </c>
      <c r="F39" t="s">
        <v>795</v>
      </c>
    </row>
    <row r="40" spans="1:6">
      <c r="A40" s="13" t="s">
        <v>93</v>
      </c>
      <c r="B40" t="s">
        <v>796</v>
      </c>
      <c r="C40" t="s">
        <v>797</v>
      </c>
      <c r="D40" t="s">
        <v>798</v>
      </c>
      <c r="E40">
        <v>74</v>
      </c>
      <c r="F40" t="s">
        <v>799</v>
      </c>
    </row>
    <row r="41" spans="1:6">
      <c r="A41" s="13" t="s">
        <v>95</v>
      </c>
      <c r="B41" t="s">
        <v>800</v>
      </c>
      <c r="C41" t="s">
        <v>801</v>
      </c>
      <c r="D41" t="s">
        <v>802</v>
      </c>
      <c r="E41">
        <v>506</v>
      </c>
      <c r="F41" t="s">
        <v>803</v>
      </c>
    </row>
    <row r="42" spans="1:6">
      <c r="A42" s="13" t="s">
        <v>412</v>
      </c>
      <c r="B42" t="s">
        <v>804</v>
      </c>
      <c r="C42" t="s">
        <v>725</v>
      </c>
      <c r="D42" t="s">
        <v>805</v>
      </c>
      <c r="E42">
        <v>123</v>
      </c>
      <c r="F42" t="s">
        <v>806</v>
      </c>
    </row>
    <row r="43" spans="1:6">
      <c r="A43" s="13" t="s">
        <v>97</v>
      </c>
      <c r="B43" t="s">
        <v>807</v>
      </c>
      <c r="C43" t="s">
        <v>538</v>
      </c>
      <c r="D43" t="s">
        <v>538</v>
      </c>
      <c r="E43">
        <v>5</v>
      </c>
      <c r="F43" t="s">
        <v>757</v>
      </c>
    </row>
    <row r="44" spans="1:6">
      <c r="A44" s="13" t="s">
        <v>99</v>
      </c>
      <c r="B44" t="s">
        <v>808</v>
      </c>
      <c r="C44" t="s">
        <v>458</v>
      </c>
      <c r="D44" t="s">
        <v>537</v>
      </c>
      <c r="E44">
        <v>15</v>
      </c>
      <c r="F44" t="s">
        <v>761</v>
      </c>
    </row>
    <row r="45" spans="1:6">
      <c r="A45" s="13" t="s">
        <v>423</v>
      </c>
      <c r="B45" t="s">
        <v>809</v>
      </c>
      <c r="C45" t="s">
        <v>540</v>
      </c>
      <c r="D45" t="s">
        <v>810</v>
      </c>
      <c r="E45">
        <v>11</v>
      </c>
      <c r="F45" t="s">
        <v>774</v>
      </c>
    </row>
    <row r="46" spans="1:6">
      <c r="A46" s="13" t="s">
        <v>101</v>
      </c>
      <c r="B46" t="s">
        <v>811</v>
      </c>
      <c r="C46" t="s">
        <v>812</v>
      </c>
      <c r="D46" t="s">
        <v>813</v>
      </c>
      <c r="E46">
        <v>71</v>
      </c>
      <c r="F46" t="s">
        <v>799</v>
      </c>
    </row>
    <row r="47" spans="1:6">
      <c r="A47" s="13" t="s">
        <v>431</v>
      </c>
      <c r="B47" t="s">
        <v>814</v>
      </c>
      <c r="C47" t="s">
        <v>709</v>
      </c>
      <c r="D47" t="s">
        <v>815</v>
      </c>
      <c r="E47">
        <v>27</v>
      </c>
      <c r="F47" t="s">
        <v>816</v>
      </c>
    </row>
    <row r="48" spans="1:6">
      <c r="A48" s="13" t="s">
        <v>436</v>
      </c>
      <c r="B48" t="s">
        <v>817</v>
      </c>
      <c r="C48" t="s">
        <v>818</v>
      </c>
      <c r="D48" t="s">
        <v>419</v>
      </c>
      <c r="E48">
        <v>25</v>
      </c>
      <c r="F48" t="s">
        <v>819</v>
      </c>
    </row>
    <row r="49" spans="1:6">
      <c r="A49" s="13" t="s">
        <v>441</v>
      </c>
      <c r="B49" t="s">
        <v>820</v>
      </c>
      <c r="C49" t="s">
        <v>536</v>
      </c>
      <c r="D49" t="s">
        <v>536</v>
      </c>
      <c r="E49">
        <v>7</v>
      </c>
      <c r="F49" t="s">
        <v>459</v>
      </c>
    </row>
    <row r="50" spans="1:6">
      <c r="A50" s="13" t="s">
        <v>103</v>
      </c>
      <c r="B50" t="s">
        <v>821</v>
      </c>
      <c r="C50" t="s">
        <v>536</v>
      </c>
      <c r="D50" t="s">
        <v>536</v>
      </c>
      <c r="E50">
        <v>7</v>
      </c>
      <c r="F50" t="s">
        <v>459</v>
      </c>
    </row>
    <row r="51" spans="1:6">
      <c r="A51" s="13" t="s">
        <v>105</v>
      </c>
      <c r="B51" t="s">
        <v>822</v>
      </c>
      <c r="C51" t="s">
        <v>823</v>
      </c>
      <c r="D51" t="s">
        <v>824</v>
      </c>
      <c r="E51">
        <v>180</v>
      </c>
      <c r="F51" t="s">
        <v>825</v>
      </c>
    </row>
    <row r="52" spans="1:6">
      <c r="A52" s="13" t="s">
        <v>107</v>
      </c>
      <c r="B52" t="s">
        <v>826</v>
      </c>
      <c r="C52" t="s">
        <v>827</v>
      </c>
      <c r="D52" t="s">
        <v>828</v>
      </c>
      <c r="E52">
        <v>43</v>
      </c>
      <c r="F52" t="s">
        <v>357</v>
      </c>
    </row>
    <row r="53" spans="1:6">
      <c r="A53" s="13" t="s">
        <v>109</v>
      </c>
      <c r="B53" t="s">
        <v>829</v>
      </c>
      <c r="C53" t="s">
        <v>830</v>
      </c>
      <c r="D53" t="s">
        <v>827</v>
      </c>
      <c r="E53">
        <v>41</v>
      </c>
      <c r="F53" t="s">
        <v>805</v>
      </c>
    </row>
    <row r="54" spans="1:6">
      <c r="A54" s="13" t="s">
        <v>111</v>
      </c>
      <c r="B54" t="s">
        <v>831</v>
      </c>
      <c r="C54" t="s">
        <v>832</v>
      </c>
      <c r="D54" t="s">
        <v>832</v>
      </c>
      <c r="E54">
        <v>1</v>
      </c>
      <c r="F54" t="s">
        <v>594</v>
      </c>
    </row>
    <row r="55" spans="1:6">
      <c r="A55" s="13" t="s">
        <v>113</v>
      </c>
      <c r="B55" t="s">
        <v>833</v>
      </c>
      <c r="C55" t="s">
        <v>536</v>
      </c>
      <c r="D55" t="s">
        <v>539</v>
      </c>
      <c r="E55">
        <v>6</v>
      </c>
      <c r="F55" t="s">
        <v>537</v>
      </c>
    </row>
    <row r="56" spans="1:6">
      <c r="A56" s="13" t="s">
        <v>115</v>
      </c>
      <c r="B56" t="s">
        <v>834</v>
      </c>
      <c r="C56" t="s">
        <v>524</v>
      </c>
      <c r="D56" t="s">
        <v>69</v>
      </c>
      <c r="E56">
        <v>105</v>
      </c>
      <c r="F56" t="s">
        <v>610</v>
      </c>
    </row>
    <row r="57" spans="1:6">
      <c r="A57" s="13" t="s">
        <v>117</v>
      </c>
      <c r="B57" t="s">
        <v>835</v>
      </c>
      <c r="C57" t="s">
        <v>642</v>
      </c>
      <c r="D57" t="s">
        <v>836</v>
      </c>
      <c r="E57">
        <v>355</v>
      </c>
      <c r="F57" t="s">
        <v>837</v>
      </c>
    </row>
    <row r="58" spans="1:6">
      <c r="A58" s="13" t="s">
        <v>119</v>
      </c>
      <c r="B58" t="s">
        <v>838</v>
      </c>
      <c r="C58" t="s">
        <v>839</v>
      </c>
      <c r="D58" t="s">
        <v>840</v>
      </c>
      <c r="E58">
        <v>88</v>
      </c>
      <c r="F58" t="s">
        <v>163</v>
      </c>
    </row>
    <row r="59" spans="1:6">
      <c r="A59" s="13" t="s">
        <v>121</v>
      </c>
      <c r="B59" t="s">
        <v>841</v>
      </c>
      <c r="C59" t="s">
        <v>539</v>
      </c>
      <c r="D59" t="s">
        <v>536</v>
      </c>
      <c r="E59">
        <v>6</v>
      </c>
      <c r="F59" t="s">
        <v>537</v>
      </c>
    </row>
    <row r="60" spans="1:6">
      <c r="A60" s="13" t="s">
        <v>123</v>
      </c>
      <c r="B60" t="s">
        <v>842</v>
      </c>
      <c r="C60" t="s">
        <v>843</v>
      </c>
      <c r="D60" t="s">
        <v>844</v>
      </c>
      <c r="E60">
        <v>656</v>
      </c>
      <c r="F60" t="s">
        <v>406</v>
      </c>
    </row>
    <row r="61" spans="1:6">
      <c r="A61" s="13" t="s">
        <v>125</v>
      </c>
      <c r="B61" t="s">
        <v>845</v>
      </c>
      <c r="C61" t="s">
        <v>207</v>
      </c>
      <c r="D61" t="s">
        <v>846</v>
      </c>
      <c r="E61">
        <v>307</v>
      </c>
      <c r="F61" t="s">
        <v>847</v>
      </c>
    </row>
    <row r="62" spans="1:6">
      <c r="A62" s="13" t="s">
        <v>127</v>
      </c>
      <c r="B62" t="s">
        <v>848</v>
      </c>
      <c r="C62" t="s">
        <v>849</v>
      </c>
      <c r="D62" t="s">
        <v>581</v>
      </c>
      <c r="E62">
        <v>427</v>
      </c>
      <c r="F62" t="s">
        <v>850</v>
      </c>
    </row>
    <row r="63" spans="1:6">
      <c r="A63" s="13" t="s">
        <v>483</v>
      </c>
      <c r="B63" t="s">
        <v>851</v>
      </c>
      <c r="C63" t="s">
        <v>538</v>
      </c>
      <c r="D63" t="s">
        <v>594</v>
      </c>
      <c r="E63">
        <v>3</v>
      </c>
      <c r="F63" t="s">
        <v>708</v>
      </c>
    </row>
    <row r="64" spans="1:6">
      <c r="A64" s="13" t="s">
        <v>129</v>
      </c>
      <c r="B64" t="s">
        <v>130</v>
      </c>
      <c r="C64" t="s">
        <v>418</v>
      </c>
      <c r="D64" t="s">
        <v>418</v>
      </c>
      <c r="E64">
        <v>9</v>
      </c>
      <c r="F64" t="s">
        <v>818</v>
      </c>
    </row>
    <row r="65" spans="1:6">
      <c r="A65" s="13" t="s">
        <v>491</v>
      </c>
      <c r="B65" t="s">
        <v>852</v>
      </c>
      <c r="C65" t="s">
        <v>755</v>
      </c>
      <c r="D65" t="s">
        <v>755</v>
      </c>
      <c r="E65">
        <v>2</v>
      </c>
      <c r="F65" t="s">
        <v>536</v>
      </c>
    </row>
    <row r="66" spans="1:6">
      <c r="A66" s="13" t="s">
        <v>131</v>
      </c>
      <c r="B66" t="s">
        <v>853</v>
      </c>
      <c r="C66" t="s">
        <v>757</v>
      </c>
      <c r="D66" t="s">
        <v>776</v>
      </c>
      <c r="E66">
        <v>12</v>
      </c>
      <c r="F66" t="s">
        <v>733</v>
      </c>
    </row>
    <row r="67" spans="1:6">
      <c r="A67" s="13" t="s">
        <v>497</v>
      </c>
      <c r="B67" t="s">
        <v>498</v>
      </c>
      <c r="C67" t="s">
        <v>810</v>
      </c>
      <c r="D67" t="s">
        <v>810</v>
      </c>
      <c r="E67">
        <v>12</v>
      </c>
      <c r="F67" t="s">
        <v>774</v>
      </c>
    </row>
    <row r="68" spans="1:6">
      <c r="A68" s="13" t="s">
        <v>133</v>
      </c>
      <c r="B68" t="s">
        <v>854</v>
      </c>
      <c r="C68" t="s">
        <v>855</v>
      </c>
      <c r="D68" t="s">
        <v>856</v>
      </c>
      <c r="E68">
        <v>490</v>
      </c>
      <c r="F68" t="s">
        <v>857</v>
      </c>
    </row>
    <row r="69" spans="1:6">
      <c r="A69" s="13" t="s">
        <v>135</v>
      </c>
      <c r="B69" t="s">
        <v>858</v>
      </c>
      <c r="C69" t="s">
        <v>417</v>
      </c>
      <c r="D69" t="s">
        <v>536</v>
      </c>
      <c r="E69">
        <v>7</v>
      </c>
      <c r="F69" t="s">
        <v>534</v>
      </c>
    </row>
    <row r="70" spans="1:6">
      <c r="A70" s="13" t="s">
        <v>507</v>
      </c>
      <c r="B70" t="s">
        <v>859</v>
      </c>
      <c r="C70" t="s">
        <v>860</v>
      </c>
      <c r="D70" t="s">
        <v>861</v>
      </c>
      <c r="E70">
        <v>313</v>
      </c>
      <c r="F70" t="s">
        <v>862</v>
      </c>
    </row>
    <row r="71" spans="1:6">
      <c r="A71" s="13" t="s">
        <v>137</v>
      </c>
      <c r="B71" t="s">
        <v>863</v>
      </c>
      <c r="C71" t="s">
        <v>864</v>
      </c>
      <c r="D71" t="s">
        <v>865</v>
      </c>
      <c r="E71">
        <v>207</v>
      </c>
      <c r="F71" t="s">
        <v>866</v>
      </c>
    </row>
    <row r="72" spans="1:6">
      <c r="A72" s="13" t="s">
        <v>141</v>
      </c>
      <c r="B72" t="s">
        <v>867</v>
      </c>
      <c r="C72" t="s">
        <v>868</v>
      </c>
      <c r="D72" t="s">
        <v>869</v>
      </c>
      <c r="E72">
        <v>210</v>
      </c>
      <c r="F72" t="s">
        <v>870</v>
      </c>
    </row>
    <row r="73" spans="1:6">
      <c r="A73" s="13" t="s">
        <v>143</v>
      </c>
      <c r="B73" t="s">
        <v>871</v>
      </c>
      <c r="C73" t="s">
        <v>708</v>
      </c>
      <c r="D73" t="s">
        <v>708</v>
      </c>
      <c r="E73">
        <v>11</v>
      </c>
      <c r="F73" t="s">
        <v>872</v>
      </c>
    </row>
    <row r="74" spans="1:6">
      <c r="A74" s="13" t="s">
        <v>145</v>
      </c>
      <c r="B74" t="s">
        <v>873</v>
      </c>
      <c r="C74" t="s">
        <v>791</v>
      </c>
      <c r="D74" t="s">
        <v>533</v>
      </c>
      <c r="E74">
        <v>23</v>
      </c>
      <c r="F74" t="s">
        <v>626</v>
      </c>
    </row>
    <row r="75" spans="1:6">
      <c r="A75" s="13" t="s">
        <v>147</v>
      </c>
      <c r="B75" t="s">
        <v>874</v>
      </c>
      <c r="C75" t="s">
        <v>539</v>
      </c>
      <c r="D75" t="s">
        <v>538</v>
      </c>
      <c r="E75">
        <v>4</v>
      </c>
      <c r="F75" t="s">
        <v>757</v>
      </c>
    </row>
    <row r="76" spans="1:6">
      <c r="A76" s="13" t="s">
        <v>149</v>
      </c>
      <c r="B76" t="s">
        <v>875</v>
      </c>
      <c r="C76" t="s">
        <v>810</v>
      </c>
      <c r="D76" t="s">
        <v>810</v>
      </c>
      <c r="E76">
        <v>13</v>
      </c>
      <c r="F76" t="s">
        <v>876</v>
      </c>
    </row>
    <row r="77" spans="1:6">
      <c r="A77" s="13" t="s">
        <v>151</v>
      </c>
      <c r="B77" t="s">
        <v>529</v>
      </c>
      <c r="C77" t="s">
        <v>543</v>
      </c>
      <c r="D77" t="s">
        <v>543</v>
      </c>
      <c r="E77">
        <v>7</v>
      </c>
      <c r="F77" t="s">
        <v>534</v>
      </c>
    </row>
    <row r="78" spans="1:6">
      <c r="A78" s="13" t="s">
        <v>153</v>
      </c>
      <c r="B78" t="s">
        <v>877</v>
      </c>
      <c r="C78" t="s">
        <v>755</v>
      </c>
      <c r="D78" t="s">
        <v>755</v>
      </c>
      <c r="E78">
        <v>1</v>
      </c>
      <c r="F78" t="s">
        <v>539</v>
      </c>
    </row>
    <row r="79" spans="1:6">
      <c r="A79" s="13" t="s">
        <v>155</v>
      </c>
      <c r="B79" t="s">
        <v>878</v>
      </c>
      <c r="C79" t="s">
        <v>755</v>
      </c>
      <c r="D79" t="s">
        <v>755</v>
      </c>
      <c r="E79">
        <v>1</v>
      </c>
      <c r="F79" t="s">
        <v>539</v>
      </c>
    </row>
    <row r="80" spans="1:6">
      <c r="A80" s="13" t="s">
        <v>157</v>
      </c>
      <c r="B80" t="s">
        <v>879</v>
      </c>
      <c r="C80" t="s">
        <v>832</v>
      </c>
      <c r="D80" t="s">
        <v>832</v>
      </c>
      <c r="E80">
        <v>1</v>
      </c>
      <c r="F80" t="s">
        <v>594</v>
      </c>
    </row>
    <row r="81" spans="1:6">
      <c r="A81" s="13" t="s">
        <v>159</v>
      </c>
      <c r="B81" t="s">
        <v>880</v>
      </c>
      <c r="C81" t="s">
        <v>872</v>
      </c>
      <c r="D81" t="s">
        <v>881</v>
      </c>
      <c r="E81">
        <v>24</v>
      </c>
      <c r="F81" t="s">
        <v>794</v>
      </c>
    </row>
    <row r="82" spans="1:6">
      <c r="A82" s="13" t="s">
        <v>161</v>
      </c>
      <c r="B82" t="s">
        <v>882</v>
      </c>
      <c r="C82" t="s">
        <v>832</v>
      </c>
      <c r="D82" t="s">
        <v>544</v>
      </c>
      <c r="E82">
        <v>0</v>
      </c>
      <c r="F82" t="s">
        <v>832</v>
      </c>
    </row>
    <row r="83" spans="1:6">
      <c r="A83" s="13" t="s">
        <v>163</v>
      </c>
      <c r="B83" t="s">
        <v>883</v>
      </c>
      <c r="C83" t="s">
        <v>759</v>
      </c>
      <c r="D83" t="s">
        <v>830</v>
      </c>
      <c r="E83">
        <v>41</v>
      </c>
      <c r="F83" t="s">
        <v>884</v>
      </c>
    </row>
    <row r="84" spans="1:6">
      <c r="A84" s="13" t="s">
        <v>165</v>
      </c>
      <c r="B84" t="s">
        <v>885</v>
      </c>
      <c r="C84" t="s">
        <v>708</v>
      </c>
      <c r="D84" t="s">
        <v>708</v>
      </c>
      <c r="E84">
        <v>11</v>
      </c>
      <c r="F84" t="s">
        <v>872</v>
      </c>
    </row>
    <row r="85" spans="1:6">
      <c r="A85" s="13" t="s">
        <v>167</v>
      </c>
      <c r="B85" t="s">
        <v>886</v>
      </c>
      <c r="C85" t="s">
        <v>708</v>
      </c>
      <c r="D85" t="s">
        <v>543</v>
      </c>
      <c r="E85">
        <v>7</v>
      </c>
      <c r="F85" t="s">
        <v>533</v>
      </c>
    </row>
    <row r="86" spans="1:6">
      <c r="A86" s="13" t="s">
        <v>169</v>
      </c>
      <c r="B86" t="s">
        <v>887</v>
      </c>
      <c r="C86" t="s">
        <v>537</v>
      </c>
      <c r="D86" t="s">
        <v>783</v>
      </c>
      <c r="E86">
        <v>20</v>
      </c>
      <c r="F86" t="s">
        <v>888</v>
      </c>
    </row>
    <row r="87" spans="1:6">
      <c r="A87" s="13" t="s">
        <v>171</v>
      </c>
      <c r="B87" t="s">
        <v>889</v>
      </c>
      <c r="C87" t="s">
        <v>712</v>
      </c>
      <c r="D87" t="s">
        <v>709</v>
      </c>
      <c r="E87">
        <v>27</v>
      </c>
      <c r="F87" t="s">
        <v>890</v>
      </c>
    </row>
    <row r="88" spans="1:6">
      <c r="A88" s="13" t="s">
        <v>173</v>
      </c>
      <c r="B88" t="s">
        <v>891</v>
      </c>
      <c r="C88" t="s">
        <v>711</v>
      </c>
      <c r="D88" t="s">
        <v>712</v>
      </c>
      <c r="E88">
        <v>34</v>
      </c>
      <c r="F88" t="s">
        <v>53</v>
      </c>
    </row>
    <row r="89" spans="1:6">
      <c r="A89" s="13" t="s">
        <v>175</v>
      </c>
      <c r="B89" t="s">
        <v>892</v>
      </c>
      <c r="C89" t="s">
        <v>711</v>
      </c>
      <c r="D89" t="s">
        <v>709</v>
      </c>
      <c r="E89">
        <v>26</v>
      </c>
      <c r="F89" t="s">
        <v>893</v>
      </c>
    </row>
    <row r="90" spans="1:6">
      <c r="A90" s="13" t="s">
        <v>177</v>
      </c>
      <c r="B90" t="s">
        <v>894</v>
      </c>
      <c r="C90" t="s">
        <v>895</v>
      </c>
      <c r="D90" t="s">
        <v>417</v>
      </c>
      <c r="E90">
        <v>8</v>
      </c>
      <c r="F90" t="s">
        <v>818</v>
      </c>
    </row>
    <row r="91" spans="1:6">
      <c r="A91" s="13" t="s">
        <v>179</v>
      </c>
      <c r="B91" t="s">
        <v>896</v>
      </c>
      <c r="C91" t="s">
        <v>417</v>
      </c>
      <c r="D91" t="s">
        <v>418</v>
      </c>
      <c r="E91">
        <v>8</v>
      </c>
      <c r="F91" t="s">
        <v>897</v>
      </c>
    </row>
    <row r="92" spans="1:6">
      <c r="A92" s="13" t="s">
        <v>181</v>
      </c>
      <c r="B92" t="s">
        <v>898</v>
      </c>
      <c r="C92" t="s">
        <v>733</v>
      </c>
      <c r="D92" t="s">
        <v>712</v>
      </c>
      <c r="E92">
        <v>31</v>
      </c>
      <c r="F92" t="s">
        <v>899</v>
      </c>
    </row>
    <row r="93" spans="1:6">
      <c r="A93" s="13" t="s">
        <v>183</v>
      </c>
      <c r="B93" t="s">
        <v>900</v>
      </c>
      <c r="C93" t="s">
        <v>832</v>
      </c>
      <c r="D93" t="s">
        <v>832</v>
      </c>
      <c r="E93">
        <v>0</v>
      </c>
      <c r="F93" t="s">
        <v>755</v>
      </c>
    </row>
    <row r="94" spans="1:6">
      <c r="A94" s="13" t="s">
        <v>187</v>
      </c>
      <c r="B94" t="s">
        <v>901</v>
      </c>
      <c r="C94" t="s">
        <v>718</v>
      </c>
      <c r="D94" t="s">
        <v>902</v>
      </c>
      <c r="E94">
        <v>78</v>
      </c>
      <c r="F94" t="s">
        <v>125</v>
      </c>
    </row>
    <row r="95" spans="1:6">
      <c r="A95" s="13" t="s">
        <v>189</v>
      </c>
      <c r="B95" t="s">
        <v>903</v>
      </c>
      <c r="C95" t="s">
        <v>711</v>
      </c>
      <c r="D95" t="s">
        <v>709</v>
      </c>
      <c r="E95">
        <v>31</v>
      </c>
      <c r="F95" t="s">
        <v>741</v>
      </c>
    </row>
    <row r="96" spans="1:6">
      <c r="A96" s="13" t="s">
        <v>578</v>
      </c>
      <c r="B96" t="s">
        <v>904</v>
      </c>
      <c r="C96" t="s">
        <v>61</v>
      </c>
      <c r="D96" t="s">
        <v>781</v>
      </c>
      <c r="E96">
        <v>89</v>
      </c>
      <c r="F96" t="s">
        <v>742</v>
      </c>
    </row>
    <row r="97" spans="1:6">
      <c r="A97" s="13" t="s">
        <v>191</v>
      </c>
      <c r="B97" t="s">
        <v>905</v>
      </c>
      <c r="C97" t="s">
        <v>810</v>
      </c>
      <c r="D97" t="s">
        <v>757</v>
      </c>
      <c r="E97">
        <v>13</v>
      </c>
      <c r="F97" t="s">
        <v>774</v>
      </c>
    </row>
    <row r="98" spans="1:6">
      <c r="A98" s="13" t="s">
        <v>193</v>
      </c>
      <c r="B98" t="s">
        <v>906</v>
      </c>
      <c r="C98" t="s">
        <v>544</v>
      </c>
      <c r="D98" t="s">
        <v>544</v>
      </c>
      <c r="E98">
        <v>1</v>
      </c>
      <c r="F98" t="s">
        <v>832</v>
      </c>
    </row>
    <row r="99" spans="1:6">
      <c r="A99" s="13" t="s">
        <v>195</v>
      </c>
      <c r="B99" t="s">
        <v>907</v>
      </c>
      <c r="C99" t="s">
        <v>791</v>
      </c>
      <c r="D99" t="s">
        <v>534</v>
      </c>
      <c r="E99">
        <v>20</v>
      </c>
      <c r="F99" t="s">
        <v>908</v>
      </c>
    </row>
    <row r="100" spans="1:6">
      <c r="A100" s="13" t="s">
        <v>197</v>
      </c>
      <c r="B100" t="s">
        <v>909</v>
      </c>
      <c r="C100" t="s">
        <v>453</v>
      </c>
      <c r="D100" t="s">
        <v>910</v>
      </c>
      <c r="E100">
        <v>698</v>
      </c>
      <c r="F100" t="s">
        <v>911</v>
      </c>
    </row>
    <row r="101" spans="1:6">
      <c r="A101" s="13" t="s">
        <v>591</v>
      </c>
      <c r="B101" t="s">
        <v>912</v>
      </c>
      <c r="C101" t="s">
        <v>913</v>
      </c>
      <c r="D101" t="s">
        <v>733</v>
      </c>
      <c r="E101">
        <v>28</v>
      </c>
      <c r="F101" t="s">
        <v>499</v>
      </c>
    </row>
    <row r="102" spans="1:6">
      <c r="A102" s="13" t="s">
        <v>199</v>
      </c>
      <c r="B102" t="s">
        <v>914</v>
      </c>
      <c r="C102" t="s">
        <v>755</v>
      </c>
      <c r="D102" t="s">
        <v>594</v>
      </c>
      <c r="E102">
        <v>1</v>
      </c>
      <c r="F102" t="s">
        <v>536</v>
      </c>
    </row>
    <row r="103" spans="1:6">
      <c r="A103" s="13" t="s">
        <v>201</v>
      </c>
      <c r="B103" t="s">
        <v>915</v>
      </c>
      <c r="C103" t="s">
        <v>543</v>
      </c>
      <c r="D103" t="s">
        <v>536</v>
      </c>
      <c r="E103">
        <v>4</v>
      </c>
      <c r="F103" t="s">
        <v>537</v>
      </c>
    </row>
    <row r="104" spans="1:6">
      <c r="A104" s="13" t="s">
        <v>203</v>
      </c>
      <c r="B104" t="s">
        <v>916</v>
      </c>
      <c r="C104" t="s">
        <v>757</v>
      </c>
      <c r="D104" t="s">
        <v>895</v>
      </c>
      <c r="E104">
        <v>12</v>
      </c>
      <c r="F104" t="s">
        <v>722</v>
      </c>
    </row>
    <row r="105" spans="1:6">
      <c r="A105" s="13" t="s">
        <v>205</v>
      </c>
      <c r="B105" t="s">
        <v>917</v>
      </c>
      <c r="C105" t="s">
        <v>918</v>
      </c>
      <c r="D105" t="s">
        <v>766</v>
      </c>
      <c r="E105">
        <v>167</v>
      </c>
      <c r="F105" t="s">
        <v>919</v>
      </c>
    </row>
    <row r="106" spans="1:6">
      <c r="A106" s="13" t="s">
        <v>207</v>
      </c>
      <c r="B106" t="s">
        <v>920</v>
      </c>
      <c r="C106" t="s">
        <v>806</v>
      </c>
      <c r="D106" t="s">
        <v>652</v>
      </c>
      <c r="E106">
        <v>371</v>
      </c>
      <c r="F106" t="s">
        <v>921</v>
      </c>
    </row>
    <row r="107" spans="1:6">
      <c r="A107" s="13" t="s">
        <v>605</v>
      </c>
      <c r="B107" t="s">
        <v>922</v>
      </c>
      <c r="C107" t="s">
        <v>923</v>
      </c>
      <c r="D107" t="s">
        <v>924</v>
      </c>
      <c r="E107">
        <v>1066</v>
      </c>
      <c r="F107" t="s">
        <v>925</v>
      </c>
    </row>
    <row r="108" spans="1:6">
      <c r="A108" s="13" t="s">
        <v>610</v>
      </c>
      <c r="B108" t="s">
        <v>926</v>
      </c>
      <c r="C108" t="s">
        <v>167</v>
      </c>
      <c r="D108" t="s">
        <v>143</v>
      </c>
      <c r="E108">
        <v>224</v>
      </c>
      <c r="F108" t="s">
        <v>513</v>
      </c>
    </row>
    <row r="109" spans="1:6">
      <c r="A109" s="13" t="s">
        <v>615</v>
      </c>
      <c r="B109" t="s">
        <v>927</v>
      </c>
      <c r="C109" t="s">
        <v>805</v>
      </c>
      <c r="D109" t="s">
        <v>928</v>
      </c>
      <c r="E109">
        <v>118</v>
      </c>
      <c r="F109" t="s">
        <v>929</v>
      </c>
    </row>
    <row r="110" spans="1:6">
      <c r="A110" s="13" t="s">
        <v>620</v>
      </c>
      <c r="B110" t="s">
        <v>930</v>
      </c>
      <c r="C110" t="s">
        <v>895</v>
      </c>
      <c r="D110" t="s">
        <v>708</v>
      </c>
      <c r="E110">
        <v>10</v>
      </c>
      <c r="F110" t="s">
        <v>872</v>
      </c>
    </row>
    <row r="111" spans="1:6">
      <c r="A111" s="13" t="s">
        <v>623</v>
      </c>
      <c r="B111" t="s">
        <v>931</v>
      </c>
      <c r="C111" t="s">
        <v>832</v>
      </c>
      <c r="D111" t="s">
        <v>755</v>
      </c>
      <c r="E111">
        <v>1</v>
      </c>
      <c r="F111" t="s">
        <v>538</v>
      </c>
    </row>
    <row r="112" spans="1:6">
      <c r="A112" s="13" t="s">
        <v>627</v>
      </c>
      <c r="B112" t="s">
        <v>932</v>
      </c>
      <c r="C112" t="s">
        <v>933</v>
      </c>
      <c r="D112" t="s">
        <v>499</v>
      </c>
      <c r="E112">
        <v>92</v>
      </c>
      <c r="F112" t="s">
        <v>195</v>
      </c>
    </row>
    <row r="113" spans="1:6">
      <c r="A113" s="13" t="s">
        <v>632</v>
      </c>
      <c r="B113" t="s">
        <v>934</v>
      </c>
      <c r="C113" t="s">
        <v>712</v>
      </c>
      <c r="D113" t="s">
        <v>709</v>
      </c>
      <c r="E113">
        <v>32</v>
      </c>
      <c r="F113" t="s">
        <v>781</v>
      </c>
    </row>
    <row r="114" spans="1:6">
      <c r="A114" s="13" t="s">
        <v>637</v>
      </c>
      <c r="B114" t="s">
        <v>935</v>
      </c>
      <c r="C114" t="s">
        <v>441</v>
      </c>
      <c r="D114" t="s">
        <v>936</v>
      </c>
      <c r="E114">
        <v>192</v>
      </c>
      <c r="F114" t="s">
        <v>937</v>
      </c>
    </row>
    <row r="115" spans="1:6">
      <c r="A115" s="13" t="s">
        <v>642</v>
      </c>
      <c r="B115" t="s">
        <v>938</v>
      </c>
      <c r="C115" t="s">
        <v>827</v>
      </c>
      <c r="D115" t="s">
        <v>774</v>
      </c>
      <c r="E115">
        <v>42</v>
      </c>
      <c r="F115" t="s">
        <v>939</v>
      </c>
    </row>
    <row r="116" spans="1:6">
      <c r="A116" s="13" t="s">
        <v>647</v>
      </c>
      <c r="B116" t="s">
        <v>940</v>
      </c>
      <c r="C116" t="s">
        <v>941</v>
      </c>
      <c r="D116" t="s">
        <v>942</v>
      </c>
      <c r="E116">
        <v>138</v>
      </c>
      <c r="F116" t="s">
        <v>943</v>
      </c>
    </row>
    <row r="117" spans="1:6">
      <c r="A117" s="13" t="s">
        <v>652</v>
      </c>
      <c r="B117" t="s">
        <v>944</v>
      </c>
      <c r="C117" t="s">
        <v>539</v>
      </c>
      <c r="D117" t="s">
        <v>539</v>
      </c>
      <c r="E117">
        <v>4</v>
      </c>
      <c r="F117" t="s">
        <v>810</v>
      </c>
    </row>
    <row r="118" spans="1:6">
      <c r="A118" s="13" t="s">
        <v>656</v>
      </c>
      <c r="B118" t="s">
        <v>945</v>
      </c>
      <c r="C118" t="s">
        <v>577</v>
      </c>
      <c r="D118" t="s">
        <v>946</v>
      </c>
      <c r="E118">
        <v>661</v>
      </c>
      <c r="F118" t="s">
        <v>947</v>
      </c>
    </row>
    <row r="119" spans="1:6">
      <c r="A119" s="13" t="s">
        <v>661</v>
      </c>
      <c r="B119" t="s">
        <v>948</v>
      </c>
      <c r="C119" t="s">
        <v>949</v>
      </c>
      <c r="D119" t="s">
        <v>950</v>
      </c>
      <c r="E119">
        <v>3936</v>
      </c>
      <c r="F119" t="s">
        <v>951</v>
      </c>
    </row>
    <row r="120" spans="1:6">
      <c r="A120" s="13" t="s">
        <v>666</v>
      </c>
      <c r="B120" t="s">
        <v>952</v>
      </c>
      <c r="C120" t="s">
        <v>843</v>
      </c>
      <c r="D120" t="s">
        <v>953</v>
      </c>
      <c r="E120">
        <v>708</v>
      </c>
      <c r="F120" t="s">
        <v>954</v>
      </c>
    </row>
    <row r="121" spans="1:6">
      <c r="A121" s="13" t="s">
        <v>587</v>
      </c>
      <c r="B121" t="s">
        <v>955</v>
      </c>
      <c r="C121" t="s">
        <v>956</v>
      </c>
      <c r="D121" t="s">
        <v>349</v>
      </c>
      <c r="E121">
        <v>337</v>
      </c>
      <c r="F121" t="s">
        <v>957</v>
      </c>
    </row>
    <row r="122" spans="1:6">
      <c r="A122" s="13" t="s">
        <v>675</v>
      </c>
      <c r="B122" t="s">
        <v>958</v>
      </c>
      <c r="C122" t="s">
        <v>910</v>
      </c>
      <c r="D122" t="s">
        <v>959</v>
      </c>
      <c r="E122">
        <v>759</v>
      </c>
      <c r="F122" t="s">
        <v>960</v>
      </c>
    </row>
    <row r="123" spans="1:6">
      <c r="A123" s="13" t="s">
        <v>680</v>
      </c>
      <c r="B123" t="s">
        <v>961</v>
      </c>
      <c r="C123" t="s">
        <v>962</v>
      </c>
      <c r="D123" t="s">
        <v>963</v>
      </c>
      <c r="E123">
        <v>369</v>
      </c>
      <c r="F123" t="s">
        <v>964</v>
      </c>
    </row>
    <row r="124" spans="1:6">
      <c r="A124" s="13" t="s">
        <v>685</v>
      </c>
      <c r="B124" t="s">
        <v>965</v>
      </c>
      <c r="C124" t="s">
        <v>966</v>
      </c>
      <c r="D124" t="s">
        <v>967</v>
      </c>
      <c r="E124">
        <v>1111</v>
      </c>
      <c r="F124" t="s">
        <v>968</v>
      </c>
    </row>
    <row r="125" spans="1:6">
      <c r="A125" s="13" t="s">
        <v>690</v>
      </c>
      <c r="B125" t="s">
        <v>969</v>
      </c>
      <c r="C125" t="s">
        <v>844</v>
      </c>
      <c r="D125" t="s">
        <v>400</v>
      </c>
      <c r="E125">
        <v>611</v>
      </c>
      <c r="F125" t="s">
        <v>970</v>
      </c>
    </row>
    <row r="126" spans="1:6">
      <c r="A126" s="13" t="s">
        <v>695</v>
      </c>
      <c r="B126" t="s">
        <v>971</v>
      </c>
      <c r="C126" t="s">
        <v>972</v>
      </c>
      <c r="D126" t="s">
        <v>973</v>
      </c>
      <c r="E126">
        <v>909</v>
      </c>
      <c r="F126" t="s">
        <v>974</v>
      </c>
    </row>
    <row r="127" spans="1:6">
      <c r="A127" s="13" t="s">
        <v>700</v>
      </c>
      <c r="B127" t="s">
        <v>272</v>
      </c>
      <c r="C127" t="s">
        <v>975</v>
      </c>
      <c r="D127" t="s">
        <v>976</v>
      </c>
      <c r="E127">
        <v>22871</v>
      </c>
      <c r="F127" t="s">
        <v>977</v>
      </c>
    </row>
    <row r="128" spans="1:6">
      <c r="A128" s="34" t="s">
        <v>139</v>
      </c>
      <c r="B128" s="14" t="s">
        <v>140</v>
      </c>
      <c r="C128">
        <v>0</v>
      </c>
      <c r="D128">
        <v>0</v>
      </c>
      <c r="E128">
        <v>0</v>
      </c>
    </row>
    <row r="129" spans="1:6">
      <c r="A129" s="34" t="s">
        <v>185</v>
      </c>
      <c r="B129" s="16" t="s">
        <v>186</v>
      </c>
      <c r="C129">
        <v>0</v>
      </c>
      <c r="D129">
        <v>0</v>
      </c>
      <c r="E129">
        <v>0</v>
      </c>
    </row>
    <row r="130" spans="1:6">
      <c r="A130" s="34" t="s">
        <v>209</v>
      </c>
      <c r="B130" s="16" t="s">
        <v>210</v>
      </c>
      <c r="C130">
        <v>70</v>
      </c>
      <c r="D130">
        <v>70</v>
      </c>
      <c r="E130">
        <v>68</v>
      </c>
      <c r="F130">
        <v>208</v>
      </c>
    </row>
    <row r="131" spans="1:6">
      <c r="A131" s="34" t="s">
        <v>211</v>
      </c>
      <c r="B131" s="14" t="s">
        <v>212</v>
      </c>
      <c r="C131">
        <v>715</v>
      </c>
      <c r="D131">
        <v>688</v>
      </c>
      <c r="E131">
        <v>677</v>
      </c>
      <c r="F131">
        <v>2080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B4A7-0353-4627-AE52-21E18F200244}">
  <dimension ref="A1:E285"/>
  <sheetViews>
    <sheetView topLeftCell="A184" workbookViewId="0">
      <selection activeCell="A199" sqref="A199"/>
    </sheetView>
  </sheetViews>
  <sheetFormatPr defaultRowHeight="14.45"/>
  <cols>
    <col min="1" max="3" width="18.42578125" customWidth="1"/>
    <col min="4" max="4" width="18.5703125" customWidth="1"/>
    <col min="5" max="5" width="18.42578125" customWidth="1"/>
  </cols>
  <sheetData>
    <row r="1" spans="1:5" ht="29.1">
      <c r="A1" s="39" t="s">
        <v>978</v>
      </c>
      <c r="B1" s="39" t="s">
        <v>979</v>
      </c>
      <c r="C1" s="39" t="s">
        <v>980</v>
      </c>
      <c r="D1" s="40" t="s">
        <v>981</v>
      </c>
      <c r="E1" s="39" t="s">
        <v>982</v>
      </c>
    </row>
    <row r="2" spans="1:5">
      <c r="A2" s="34" t="s">
        <v>983</v>
      </c>
      <c r="B2">
        <v>1931</v>
      </c>
      <c r="C2">
        <v>0.346616406390235</v>
      </c>
      <c r="D2" s="18">
        <v>-1.8286160160590801</v>
      </c>
      <c r="E2" s="18">
        <v>2025</v>
      </c>
    </row>
    <row r="3" spans="1:5">
      <c r="A3" s="34" t="s">
        <v>984</v>
      </c>
      <c r="B3">
        <v>843</v>
      </c>
      <c r="C3">
        <v>0.346616406390235</v>
      </c>
      <c r="D3" s="18">
        <v>-1.137847250763</v>
      </c>
      <c r="E3" s="18">
        <v>2025</v>
      </c>
    </row>
    <row r="4" spans="1:5">
      <c r="A4" s="34" t="s">
        <v>985</v>
      </c>
      <c r="B4">
        <v>1238</v>
      </c>
      <c r="C4">
        <v>0.346616406390235</v>
      </c>
      <c r="D4" s="18">
        <v>-1.6935155608914501</v>
      </c>
      <c r="E4" s="18">
        <v>2025</v>
      </c>
    </row>
    <row r="5" spans="1:5">
      <c r="A5" s="34" t="s">
        <v>47</v>
      </c>
      <c r="B5">
        <v>511</v>
      </c>
      <c r="C5">
        <v>0.346616406390235</v>
      </c>
      <c r="D5" s="18">
        <v>-1.0904120892896101</v>
      </c>
      <c r="E5" s="18">
        <v>2025</v>
      </c>
    </row>
    <row r="6" spans="1:5">
      <c r="A6" s="34" t="s">
        <v>49</v>
      </c>
      <c r="B6">
        <v>3131</v>
      </c>
      <c r="C6">
        <v>0.346616406390235</v>
      </c>
      <c r="D6" s="18">
        <v>-1.8588590794331901</v>
      </c>
      <c r="E6" s="18">
        <v>2025</v>
      </c>
    </row>
    <row r="7" spans="1:5">
      <c r="A7" s="34" t="s">
        <v>986</v>
      </c>
      <c r="B7">
        <v>2787</v>
      </c>
      <c r="C7">
        <v>0.346616406390235</v>
      </c>
      <c r="D7" s="18">
        <v>-1.7839019889255501</v>
      </c>
      <c r="E7" s="18">
        <v>2025</v>
      </c>
    </row>
    <row r="8" spans="1:5">
      <c r="A8" s="34" t="s">
        <v>987</v>
      </c>
      <c r="B8">
        <v>17</v>
      </c>
      <c r="C8">
        <v>0.346616406390235</v>
      </c>
      <c r="D8" s="18">
        <v>-0.61585865416428798</v>
      </c>
      <c r="E8" s="18">
        <v>2025</v>
      </c>
    </row>
    <row r="9" spans="1:5">
      <c r="A9" s="34" t="s">
        <v>988</v>
      </c>
      <c r="B9">
        <v>988</v>
      </c>
      <c r="C9">
        <v>0.346616406390235</v>
      </c>
      <c r="D9" s="18">
        <v>-1.6348500608657599</v>
      </c>
      <c r="E9" s="18">
        <v>2025</v>
      </c>
    </row>
    <row r="10" spans="1:5">
      <c r="A10" s="34" t="s">
        <v>989</v>
      </c>
      <c r="B10">
        <v>350</v>
      </c>
      <c r="C10">
        <v>0.346616406390235</v>
      </c>
      <c r="D10" s="18">
        <v>-1.61006575590919</v>
      </c>
      <c r="E10" s="18">
        <v>2025</v>
      </c>
    </row>
    <row r="11" spans="1:5">
      <c r="A11" s="34" t="s">
        <v>990</v>
      </c>
      <c r="B11">
        <v>441</v>
      </c>
      <c r="C11">
        <v>0.346616406390235</v>
      </c>
      <c r="D11" s="18">
        <v>-1.3575863324625701</v>
      </c>
      <c r="E11" s="18">
        <v>2025</v>
      </c>
    </row>
    <row r="12" spans="1:5">
      <c r="A12" s="34" t="s">
        <v>991</v>
      </c>
      <c r="B12">
        <v>147</v>
      </c>
      <c r="C12">
        <v>0.346616406390235</v>
      </c>
      <c r="D12" s="18">
        <v>-0.86900116695942597</v>
      </c>
      <c r="E12" s="18">
        <v>2025</v>
      </c>
    </row>
    <row r="13" spans="1:5">
      <c r="A13" s="34" t="s">
        <v>992</v>
      </c>
      <c r="B13">
        <v>593</v>
      </c>
      <c r="C13">
        <v>0.346616406390235</v>
      </c>
      <c r="D13" s="18">
        <v>-1.4291151946871701</v>
      </c>
      <c r="E13" s="18">
        <v>2025</v>
      </c>
    </row>
    <row r="14" spans="1:5">
      <c r="A14" s="34" t="s">
        <v>993</v>
      </c>
      <c r="B14">
        <v>28</v>
      </c>
      <c r="C14">
        <v>0.346616406390235</v>
      </c>
      <c r="D14" s="18">
        <v>-0.11193684982034</v>
      </c>
      <c r="E14" s="18">
        <v>2025</v>
      </c>
    </row>
    <row r="15" spans="1:5">
      <c r="A15" s="34" t="s">
        <v>273</v>
      </c>
      <c r="B15">
        <v>38</v>
      </c>
      <c r="C15">
        <v>0.346616406390235</v>
      </c>
      <c r="D15" s="18">
        <v>-9.0494772095294898E-2</v>
      </c>
      <c r="E15" s="18">
        <v>2025</v>
      </c>
    </row>
    <row r="16" spans="1:5">
      <c r="A16" s="34" t="s">
        <v>278</v>
      </c>
      <c r="B16">
        <v>72</v>
      </c>
      <c r="C16">
        <v>0.346616406390235</v>
      </c>
      <c r="D16" s="18">
        <v>-0.75423973849207904</v>
      </c>
      <c r="E16" s="18">
        <v>2025</v>
      </c>
    </row>
    <row r="17" spans="1:5">
      <c r="A17" s="34" t="s">
        <v>283</v>
      </c>
      <c r="B17">
        <v>155</v>
      </c>
      <c r="C17">
        <v>0.346616406390235</v>
      </c>
      <c r="D17" s="18">
        <v>-1.58597062497894</v>
      </c>
      <c r="E17" s="18">
        <v>2025</v>
      </c>
    </row>
    <row r="18" spans="1:5">
      <c r="A18" s="34" t="s">
        <v>288</v>
      </c>
      <c r="B18">
        <v>1406</v>
      </c>
      <c r="C18">
        <v>0.346616406390235</v>
      </c>
      <c r="D18" s="18">
        <v>-1.2287569181326701</v>
      </c>
      <c r="E18" s="18">
        <v>2025</v>
      </c>
    </row>
    <row r="19" spans="1:5">
      <c r="A19" s="34" t="s">
        <v>51</v>
      </c>
      <c r="B19">
        <v>353</v>
      </c>
      <c r="C19">
        <v>0.346616406390235</v>
      </c>
      <c r="D19" s="18">
        <v>-1.4621464669119899</v>
      </c>
      <c r="E19" s="18">
        <v>2025</v>
      </c>
    </row>
    <row r="20" spans="1:5">
      <c r="A20" s="34" t="s">
        <v>296</v>
      </c>
      <c r="B20">
        <v>39</v>
      </c>
      <c r="C20">
        <v>0.346616406390235</v>
      </c>
      <c r="D20" s="18">
        <v>0.18443925017842999</v>
      </c>
      <c r="E20" s="18">
        <v>2025</v>
      </c>
    </row>
    <row r="21" spans="1:5">
      <c r="A21" s="34" t="s">
        <v>301</v>
      </c>
      <c r="B21">
        <v>163</v>
      </c>
      <c r="C21">
        <v>0.346616406390235</v>
      </c>
      <c r="D21" s="18">
        <v>-0.76373661470104304</v>
      </c>
      <c r="E21" s="18">
        <v>2025</v>
      </c>
    </row>
    <row r="22" spans="1:5">
      <c r="A22" s="34" t="s">
        <v>53</v>
      </c>
      <c r="B22">
        <v>663</v>
      </c>
      <c r="C22">
        <v>0.346616406390235</v>
      </c>
      <c r="D22" s="18">
        <v>-0.48171224381968902</v>
      </c>
      <c r="E22" s="18">
        <v>2025</v>
      </c>
    </row>
    <row r="23" spans="1:5">
      <c r="A23" s="34" t="s">
        <v>308</v>
      </c>
      <c r="B23">
        <v>192</v>
      </c>
      <c r="C23">
        <v>0.346616406390235</v>
      </c>
      <c r="D23" s="18">
        <v>-0.518865777103241</v>
      </c>
      <c r="E23" s="18">
        <v>2025</v>
      </c>
    </row>
    <row r="24" spans="1:5">
      <c r="A24" s="34" t="s">
        <v>55</v>
      </c>
      <c r="B24">
        <v>649</v>
      </c>
      <c r="C24">
        <v>0.346616406390235</v>
      </c>
      <c r="D24" s="18">
        <v>-0.91636945186424301</v>
      </c>
      <c r="E24" s="18">
        <v>2025</v>
      </c>
    </row>
    <row r="25" spans="1:5">
      <c r="A25" s="34" t="s">
        <v>57</v>
      </c>
      <c r="B25">
        <v>207</v>
      </c>
      <c r="C25">
        <v>0.346616406390235</v>
      </c>
      <c r="D25" s="18">
        <v>-0.542719570165618</v>
      </c>
      <c r="E25" s="18">
        <v>2025</v>
      </c>
    </row>
    <row r="26" spans="1:5">
      <c r="A26" s="34" t="s">
        <v>59</v>
      </c>
      <c r="B26">
        <v>1160</v>
      </c>
      <c r="C26">
        <v>0.346616406390235</v>
      </c>
      <c r="D26" s="18">
        <v>-1.300228609768</v>
      </c>
      <c r="E26" s="18">
        <v>2025</v>
      </c>
    </row>
    <row r="27" spans="1:5">
      <c r="A27" s="34" t="s">
        <v>61</v>
      </c>
      <c r="B27">
        <v>1060</v>
      </c>
      <c r="C27">
        <v>0.346616406390235</v>
      </c>
      <c r="D27" s="18">
        <v>-0.86387357009515497</v>
      </c>
      <c r="E27" s="18">
        <v>2025</v>
      </c>
    </row>
    <row r="28" spans="1:5">
      <c r="A28" s="34" t="s">
        <v>63</v>
      </c>
      <c r="B28">
        <v>182</v>
      </c>
      <c r="C28">
        <v>0.346616406390235</v>
      </c>
      <c r="D28" s="18">
        <v>-0.575205049932906</v>
      </c>
      <c r="E28" s="18">
        <v>2025</v>
      </c>
    </row>
    <row r="29" spans="1:5">
      <c r="A29" s="34" t="s">
        <v>328</v>
      </c>
      <c r="B29">
        <v>405</v>
      </c>
      <c r="C29">
        <v>0.346616406390235</v>
      </c>
      <c r="D29" s="18">
        <v>-0.77582245633436797</v>
      </c>
      <c r="E29" s="18">
        <v>2025</v>
      </c>
    </row>
    <row r="30" spans="1:5">
      <c r="A30" s="34" t="s">
        <v>65</v>
      </c>
      <c r="B30">
        <v>1198</v>
      </c>
      <c r="C30">
        <v>0.346616406390235</v>
      </c>
      <c r="D30" s="18">
        <v>-0.60201063541729005</v>
      </c>
      <c r="E30" s="18">
        <v>2025</v>
      </c>
    </row>
    <row r="31" spans="1:5">
      <c r="A31" s="34" t="s">
        <v>67</v>
      </c>
      <c r="B31">
        <v>463</v>
      </c>
      <c r="C31">
        <v>0.346616406390235</v>
      </c>
      <c r="D31" s="18">
        <v>-0.70675988472823004</v>
      </c>
      <c r="E31" s="18">
        <v>2025</v>
      </c>
    </row>
    <row r="32" spans="1:5">
      <c r="A32" s="34" t="s">
        <v>69</v>
      </c>
      <c r="B32">
        <v>454</v>
      </c>
      <c r="C32">
        <v>0.346616406390235</v>
      </c>
      <c r="D32" s="18">
        <v>-0.67218226197072295</v>
      </c>
      <c r="E32" s="18">
        <v>2025</v>
      </c>
    </row>
    <row r="33" spans="1:5">
      <c r="A33" s="34" t="s">
        <v>341</v>
      </c>
      <c r="B33">
        <v>18</v>
      </c>
      <c r="C33">
        <v>0.346616406390235</v>
      </c>
      <c r="D33" s="18">
        <v>-1.2717557820712299E-2</v>
      </c>
      <c r="E33" s="18">
        <v>2025</v>
      </c>
    </row>
    <row r="34" spans="1:5">
      <c r="A34" s="34" t="s">
        <v>346</v>
      </c>
      <c r="B34">
        <v>78</v>
      </c>
      <c r="C34">
        <v>0.346616406390235</v>
      </c>
      <c r="D34" s="18">
        <v>5.44769808852823E-2</v>
      </c>
      <c r="E34" s="18">
        <v>2025</v>
      </c>
    </row>
    <row r="35" spans="1:5">
      <c r="A35" s="34" t="s">
        <v>71</v>
      </c>
      <c r="B35">
        <v>174</v>
      </c>
      <c r="C35">
        <v>0.346616406390235</v>
      </c>
      <c r="D35" s="18">
        <v>0.25468974944907202</v>
      </c>
      <c r="E35" s="18">
        <v>2025</v>
      </c>
    </row>
    <row r="36" spans="1:5">
      <c r="A36" s="34" t="s">
        <v>73</v>
      </c>
      <c r="B36">
        <v>138</v>
      </c>
      <c r="C36">
        <v>0.346616406390235</v>
      </c>
      <c r="D36" s="18">
        <v>0.56055452076425305</v>
      </c>
      <c r="E36" s="18">
        <v>2025</v>
      </c>
    </row>
    <row r="37" spans="1:5">
      <c r="A37" s="34" t="s">
        <v>357</v>
      </c>
      <c r="B37">
        <v>106</v>
      </c>
      <c r="C37">
        <v>0.346616406390235</v>
      </c>
      <c r="D37" s="18">
        <v>0.891200880348193</v>
      </c>
      <c r="E37" s="18">
        <v>2025</v>
      </c>
    </row>
    <row r="38" spans="1:5">
      <c r="A38" s="34" t="s">
        <v>360</v>
      </c>
      <c r="B38">
        <v>253</v>
      </c>
      <c r="C38">
        <v>0.346616406390235</v>
      </c>
      <c r="D38" s="18">
        <v>0.12809941852780901</v>
      </c>
      <c r="E38" s="18">
        <v>2025</v>
      </c>
    </row>
    <row r="39" spans="1:5">
      <c r="A39" s="34" t="s">
        <v>75</v>
      </c>
      <c r="B39">
        <v>415</v>
      </c>
      <c r="C39">
        <v>0.346616406390235</v>
      </c>
      <c r="D39" s="18">
        <v>0.17737964577067999</v>
      </c>
      <c r="E39" s="18">
        <v>2025</v>
      </c>
    </row>
    <row r="40" spans="1:5">
      <c r="A40" s="34" t="s">
        <v>77</v>
      </c>
      <c r="B40">
        <v>985</v>
      </c>
      <c r="C40">
        <v>0.346616406390235</v>
      </c>
      <c r="D40" s="18">
        <v>-0.89662426749139201</v>
      </c>
      <c r="E40" s="18">
        <v>2025</v>
      </c>
    </row>
    <row r="41" spans="1:5">
      <c r="A41" s="34" t="s">
        <v>79</v>
      </c>
      <c r="B41">
        <v>192</v>
      </c>
      <c r="C41">
        <v>0.346616406390235</v>
      </c>
      <c r="D41" s="18">
        <v>-0.14388642897034601</v>
      </c>
      <c r="E41" s="18">
        <v>2025</v>
      </c>
    </row>
    <row r="42" spans="1:5">
      <c r="A42" s="34" t="s">
        <v>374</v>
      </c>
      <c r="B42">
        <v>129</v>
      </c>
      <c r="C42">
        <v>0.346616406390235</v>
      </c>
      <c r="D42" s="18">
        <v>3.9007415859378801E-2</v>
      </c>
      <c r="E42" s="18">
        <v>2025</v>
      </c>
    </row>
    <row r="43" spans="1:5">
      <c r="A43" s="34" t="s">
        <v>81</v>
      </c>
      <c r="B43">
        <v>279</v>
      </c>
      <c r="C43">
        <v>0.346616406390235</v>
      </c>
      <c r="D43" s="18">
        <v>-3.60036639465531E-3</v>
      </c>
      <c r="E43" s="18">
        <v>2025</v>
      </c>
    </row>
    <row r="44" spans="1:5">
      <c r="A44" s="34" t="s">
        <v>83</v>
      </c>
      <c r="B44">
        <v>301</v>
      </c>
      <c r="C44">
        <v>0.346616406390235</v>
      </c>
      <c r="D44" s="18">
        <v>-0.516829808466301</v>
      </c>
      <c r="E44" s="18">
        <v>2025</v>
      </c>
    </row>
    <row r="45" spans="1:5">
      <c r="A45" s="34" t="s">
        <v>385</v>
      </c>
      <c r="B45">
        <v>126</v>
      </c>
      <c r="C45">
        <v>0.346616406390235</v>
      </c>
      <c r="D45" s="18">
        <v>-0.20422065576568599</v>
      </c>
      <c r="E45" s="18">
        <v>2025</v>
      </c>
    </row>
    <row r="46" spans="1:5">
      <c r="A46" s="34" t="s">
        <v>85</v>
      </c>
      <c r="B46">
        <v>1159</v>
      </c>
      <c r="C46">
        <v>0.346616406390235</v>
      </c>
      <c r="D46" s="18">
        <v>-1.09398814206159</v>
      </c>
      <c r="E46" s="18">
        <v>2025</v>
      </c>
    </row>
    <row r="47" spans="1:5">
      <c r="A47" s="34" t="s">
        <v>87</v>
      </c>
      <c r="B47">
        <v>858</v>
      </c>
      <c r="C47">
        <v>0.346616406390235</v>
      </c>
      <c r="D47" s="18">
        <v>-0.54168149472984695</v>
      </c>
      <c r="E47" s="18">
        <v>2025</v>
      </c>
    </row>
    <row r="48" spans="1:5">
      <c r="A48" s="34" t="s">
        <v>395</v>
      </c>
      <c r="B48">
        <v>30</v>
      </c>
      <c r="C48">
        <v>0.346616406390235</v>
      </c>
      <c r="D48" s="18">
        <v>-0.25817743464987197</v>
      </c>
      <c r="E48" s="18">
        <v>2025</v>
      </c>
    </row>
    <row r="49" spans="1:5">
      <c r="A49" s="34" t="s">
        <v>89</v>
      </c>
      <c r="B49">
        <v>125</v>
      </c>
      <c r="C49">
        <v>0.346616406390235</v>
      </c>
      <c r="D49" s="18">
        <v>0.51814124074163603</v>
      </c>
      <c r="E49" s="18">
        <v>2025</v>
      </c>
    </row>
    <row r="50" spans="1:5">
      <c r="A50" s="34" t="s">
        <v>91</v>
      </c>
      <c r="B50">
        <v>306</v>
      </c>
      <c r="C50">
        <v>0.346616406390235</v>
      </c>
      <c r="D50" s="18">
        <v>0.76705514694463095</v>
      </c>
      <c r="E50" s="18">
        <v>2025</v>
      </c>
    </row>
    <row r="51" spans="1:5">
      <c r="A51" s="34" t="s">
        <v>93</v>
      </c>
      <c r="B51">
        <v>287</v>
      </c>
      <c r="C51">
        <v>0.346616406390235</v>
      </c>
      <c r="D51" s="18">
        <v>0.70664626400942498</v>
      </c>
      <c r="E51" s="18">
        <v>2025</v>
      </c>
    </row>
    <row r="52" spans="1:5">
      <c r="A52" s="34" t="s">
        <v>95</v>
      </c>
      <c r="B52">
        <v>582</v>
      </c>
      <c r="C52">
        <v>0.346616406390235</v>
      </c>
      <c r="D52" s="18">
        <v>-8.6720616048492502E-2</v>
      </c>
      <c r="E52" s="18">
        <v>2025</v>
      </c>
    </row>
    <row r="53" spans="1:5">
      <c r="A53" s="34" t="s">
        <v>412</v>
      </c>
      <c r="B53">
        <v>305</v>
      </c>
      <c r="C53">
        <v>0.346616406390235</v>
      </c>
      <c r="D53" s="18">
        <v>0.15500899235980101</v>
      </c>
      <c r="E53" s="18">
        <v>2025</v>
      </c>
    </row>
    <row r="54" spans="1:5">
      <c r="A54" s="34" t="s">
        <v>97</v>
      </c>
      <c r="B54">
        <v>55</v>
      </c>
      <c r="C54">
        <v>0.346616406390235</v>
      </c>
      <c r="D54" s="18">
        <v>0.69660067219452704</v>
      </c>
      <c r="E54" s="18">
        <v>2025</v>
      </c>
    </row>
    <row r="55" spans="1:5">
      <c r="A55" s="34" t="s">
        <v>823</v>
      </c>
      <c r="B55">
        <v>3</v>
      </c>
      <c r="C55">
        <v>0.346616406390235</v>
      </c>
      <c r="D55" s="18">
        <v>0.90286250081420505</v>
      </c>
      <c r="E55" s="18">
        <v>2025</v>
      </c>
    </row>
    <row r="56" spans="1:5">
      <c r="A56" s="34" t="s">
        <v>99</v>
      </c>
      <c r="B56">
        <v>71</v>
      </c>
      <c r="C56">
        <v>0.346616406390235</v>
      </c>
      <c r="D56" s="18">
        <v>1.3854145350859199</v>
      </c>
      <c r="E56" s="18">
        <v>2025</v>
      </c>
    </row>
    <row r="57" spans="1:5">
      <c r="A57" s="34" t="s">
        <v>423</v>
      </c>
      <c r="B57">
        <v>202</v>
      </c>
      <c r="C57">
        <v>0.346616406390235</v>
      </c>
      <c r="D57" s="18">
        <v>-0.99288557539906297</v>
      </c>
      <c r="E57" s="18">
        <v>2025</v>
      </c>
    </row>
    <row r="58" spans="1:5">
      <c r="A58" s="34" t="s">
        <v>101</v>
      </c>
      <c r="B58">
        <v>399</v>
      </c>
      <c r="C58">
        <v>0.346616406390235</v>
      </c>
      <c r="D58" s="18">
        <v>9.3491473460959595E-2</v>
      </c>
      <c r="E58" s="18">
        <v>2025</v>
      </c>
    </row>
    <row r="59" spans="1:5">
      <c r="A59" s="34" t="s">
        <v>431</v>
      </c>
      <c r="B59">
        <v>128</v>
      </c>
      <c r="C59">
        <v>0.346616406390235</v>
      </c>
      <c r="D59" s="18">
        <v>0.82646411891469096</v>
      </c>
      <c r="E59" s="18">
        <v>2025</v>
      </c>
    </row>
    <row r="60" spans="1:5">
      <c r="A60" s="34" t="s">
        <v>436</v>
      </c>
      <c r="B60">
        <v>99</v>
      </c>
      <c r="C60">
        <v>0.346616406390235</v>
      </c>
      <c r="D60" s="18">
        <v>1.6110868177337401</v>
      </c>
      <c r="E60" s="18">
        <v>2025</v>
      </c>
    </row>
    <row r="61" spans="1:5">
      <c r="A61" s="34" t="s">
        <v>441</v>
      </c>
      <c r="B61">
        <v>50</v>
      </c>
      <c r="C61">
        <v>0.346616406390235</v>
      </c>
      <c r="D61" s="18">
        <v>1.5045452817003599</v>
      </c>
      <c r="E61" s="18">
        <v>2025</v>
      </c>
    </row>
    <row r="62" spans="1:5">
      <c r="A62" s="34" t="s">
        <v>103</v>
      </c>
      <c r="B62">
        <v>111</v>
      </c>
      <c r="C62">
        <v>0.346616406390235</v>
      </c>
      <c r="D62" s="18">
        <v>0.649597494359065</v>
      </c>
      <c r="E62" s="18">
        <v>2025</v>
      </c>
    </row>
    <row r="63" spans="1:5">
      <c r="A63" s="34" t="s">
        <v>105</v>
      </c>
      <c r="B63">
        <v>392</v>
      </c>
      <c r="C63">
        <v>0.346616406390235</v>
      </c>
      <c r="D63" s="18">
        <v>0.2939044538801</v>
      </c>
      <c r="E63" s="18">
        <v>2025</v>
      </c>
    </row>
    <row r="64" spans="1:5">
      <c r="A64" s="34" t="s">
        <v>107</v>
      </c>
      <c r="B64">
        <v>243</v>
      </c>
      <c r="C64">
        <v>0.346616406390235</v>
      </c>
      <c r="D64" s="18">
        <v>0.85484905158914604</v>
      </c>
      <c r="E64" s="18">
        <v>2025</v>
      </c>
    </row>
    <row r="65" spans="1:5">
      <c r="A65" s="34" t="s">
        <v>109</v>
      </c>
      <c r="B65">
        <v>329</v>
      </c>
      <c r="C65">
        <v>0.346616406390235</v>
      </c>
      <c r="D65" s="18">
        <v>0.81568419874804499</v>
      </c>
      <c r="E65" s="18">
        <v>2025</v>
      </c>
    </row>
    <row r="66" spans="1:5">
      <c r="A66" s="34" t="s">
        <v>111</v>
      </c>
      <c r="B66">
        <v>48</v>
      </c>
      <c r="C66">
        <v>0.346616406390235</v>
      </c>
      <c r="D66" s="18">
        <v>0.94364368679819799</v>
      </c>
      <c r="E66" s="18">
        <v>2025</v>
      </c>
    </row>
    <row r="67" spans="1:5">
      <c r="A67" s="34" t="s">
        <v>113</v>
      </c>
      <c r="B67">
        <v>91</v>
      </c>
      <c r="C67">
        <v>0.346616406390235</v>
      </c>
      <c r="D67" s="18">
        <v>1.49731695237456</v>
      </c>
      <c r="E67" s="18">
        <v>2025</v>
      </c>
    </row>
    <row r="68" spans="1:5">
      <c r="A68" s="34" t="s">
        <v>115</v>
      </c>
      <c r="B68">
        <v>332</v>
      </c>
      <c r="C68">
        <v>0.346616406390235</v>
      </c>
      <c r="D68" s="18">
        <v>0.58978559367217198</v>
      </c>
      <c r="E68" s="18">
        <v>2025</v>
      </c>
    </row>
    <row r="69" spans="1:5">
      <c r="A69" s="34" t="s">
        <v>117</v>
      </c>
      <c r="B69">
        <v>560</v>
      </c>
      <c r="C69">
        <v>0.346616406390235</v>
      </c>
      <c r="D69" s="18">
        <v>0.59200422591030999</v>
      </c>
      <c r="E69" s="18">
        <v>2025</v>
      </c>
    </row>
    <row r="70" spans="1:5">
      <c r="A70" s="34" t="s">
        <v>119</v>
      </c>
      <c r="B70">
        <v>261</v>
      </c>
      <c r="C70">
        <v>0.346616406390235</v>
      </c>
      <c r="D70" s="18">
        <v>0.71848654838948001</v>
      </c>
      <c r="E70" s="18">
        <v>2025</v>
      </c>
    </row>
    <row r="71" spans="1:5">
      <c r="A71" s="34" t="s">
        <v>121</v>
      </c>
      <c r="B71">
        <v>81</v>
      </c>
      <c r="C71">
        <v>0.346616406390235</v>
      </c>
      <c r="D71" s="18">
        <v>0.14224467390584999</v>
      </c>
      <c r="E71" s="18">
        <v>2025</v>
      </c>
    </row>
    <row r="72" spans="1:5">
      <c r="A72" s="34" t="s">
        <v>123</v>
      </c>
      <c r="B72">
        <v>1509</v>
      </c>
      <c r="C72">
        <v>0.346616406390235</v>
      </c>
      <c r="D72" s="18">
        <v>-0.64173161308021698</v>
      </c>
      <c r="E72" s="18">
        <v>2025</v>
      </c>
    </row>
    <row r="73" spans="1:5">
      <c r="A73" s="34" t="s">
        <v>125</v>
      </c>
      <c r="B73">
        <v>1079</v>
      </c>
      <c r="C73">
        <v>0.346616406390235</v>
      </c>
      <c r="D73" s="18">
        <v>-1.5105027773255999</v>
      </c>
      <c r="E73" s="18">
        <v>2025</v>
      </c>
    </row>
    <row r="74" spans="1:5">
      <c r="A74" s="34" t="s">
        <v>127</v>
      </c>
      <c r="B74">
        <v>961</v>
      </c>
      <c r="C74">
        <v>0.346616406390235</v>
      </c>
      <c r="D74" s="18">
        <v>-0.60191649053205998</v>
      </c>
      <c r="E74" s="18">
        <v>2025</v>
      </c>
    </row>
    <row r="75" spans="1:5">
      <c r="A75" s="34" t="s">
        <v>483</v>
      </c>
      <c r="B75">
        <v>61</v>
      </c>
      <c r="C75">
        <v>0.346616406390235</v>
      </c>
      <c r="D75" s="18">
        <v>0.27066298749100998</v>
      </c>
      <c r="E75" s="18">
        <v>2025</v>
      </c>
    </row>
    <row r="76" spans="1:5">
      <c r="A76" s="34" t="s">
        <v>129</v>
      </c>
      <c r="B76">
        <v>96</v>
      </c>
      <c r="C76">
        <v>0.346616406390235</v>
      </c>
      <c r="D76" s="18">
        <v>0.99571201773903395</v>
      </c>
      <c r="E76" s="18">
        <v>2025</v>
      </c>
    </row>
    <row r="77" spans="1:5">
      <c r="A77" s="34" t="s">
        <v>491</v>
      </c>
      <c r="B77">
        <v>65</v>
      </c>
      <c r="C77">
        <v>0.346616406390235</v>
      </c>
      <c r="D77" s="18">
        <v>1.5231405502464599</v>
      </c>
      <c r="E77" s="18">
        <v>2025</v>
      </c>
    </row>
    <row r="78" spans="1:5">
      <c r="A78" s="34" t="s">
        <v>131</v>
      </c>
      <c r="B78">
        <v>138</v>
      </c>
      <c r="C78">
        <v>0.346616406390235</v>
      </c>
      <c r="D78" s="18">
        <v>1.13150086261698</v>
      </c>
      <c r="E78" s="18">
        <v>2025</v>
      </c>
    </row>
    <row r="79" spans="1:5">
      <c r="A79" s="34" t="s">
        <v>497</v>
      </c>
      <c r="B79">
        <v>206</v>
      </c>
      <c r="C79">
        <v>0.346616406390235</v>
      </c>
      <c r="D79" s="18">
        <v>0.97018030513279396</v>
      </c>
      <c r="E79" s="18">
        <v>2025</v>
      </c>
    </row>
    <row r="80" spans="1:5">
      <c r="A80" s="34" t="s">
        <v>133</v>
      </c>
      <c r="B80">
        <v>1008</v>
      </c>
      <c r="C80">
        <v>0.346616406390235</v>
      </c>
      <c r="D80" s="18">
        <v>-0.14871193882739001</v>
      </c>
      <c r="E80" s="18">
        <v>2025</v>
      </c>
    </row>
    <row r="81" spans="1:5">
      <c r="A81" s="34" t="s">
        <v>135</v>
      </c>
      <c r="B81">
        <v>179</v>
      </c>
      <c r="C81">
        <v>0.346616406390235</v>
      </c>
      <c r="D81" s="18">
        <v>0.734468794976193</v>
      </c>
      <c r="E81" s="18">
        <v>2025</v>
      </c>
    </row>
    <row r="82" spans="1:5">
      <c r="A82" s="34" t="s">
        <v>507</v>
      </c>
      <c r="B82">
        <v>783</v>
      </c>
      <c r="C82">
        <v>0.346616406390235</v>
      </c>
      <c r="D82" s="18">
        <v>7.4103265636729698E-2</v>
      </c>
      <c r="E82" s="18">
        <v>2025</v>
      </c>
    </row>
    <row r="83" spans="1:5">
      <c r="A83" s="34" t="s">
        <v>137</v>
      </c>
      <c r="B83">
        <v>731</v>
      </c>
      <c r="C83">
        <v>0.346616406390235</v>
      </c>
      <c r="D83" s="18">
        <v>-0.39130692981634502</v>
      </c>
      <c r="E83" s="18">
        <v>2025</v>
      </c>
    </row>
    <row r="84" spans="1:5">
      <c r="A84" s="34" t="s">
        <v>139</v>
      </c>
      <c r="B84">
        <v>14</v>
      </c>
      <c r="C84">
        <v>0.346616406390235</v>
      </c>
      <c r="D84" s="18">
        <v>1.6797948106137599</v>
      </c>
      <c r="E84" s="18">
        <v>2025</v>
      </c>
    </row>
    <row r="85" spans="1:5">
      <c r="A85" s="34" t="s">
        <v>141</v>
      </c>
      <c r="B85">
        <v>493</v>
      </c>
      <c r="C85">
        <v>0.346616406390235</v>
      </c>
      <c r="D85" s="18">
        <v>0.68397024315406596</v>
      </c>
      <c r="E85" s="18">
        <v>2025</v>
      </c>
    </row>
    <row r="86" spans="1:5">
      <c r="A86" s="34" t="s">
        <v>143</v>
      </c>
      <c r="B86">
        <v>108</v>
      </c>
      <c r="C86">
        <v>0.346616406390235</v>
      </c>
      <c r="D86" s="18">
        <v>1.5086295326800201</v>
      </c>
      <c r="E86" s="18">
        <v>2025</v>
      </c>
    </row>
    <row r="87" spans="1:5">
      <c r="A87" s="34" t="s">
        <v>145</v>
      </c>
      <c r="B87">
        <v>57</v>
      </c>
      <c r="C87">
        <v>0.346616406390235</v>
      </c>
      <c r="D87" s="18">
        <v>1.6620569210607199</v>
      </c>
      <c r="E87" s="18">
        <v>2025</v>
      </c>
    </row>
    <row r="88" spans="1:5">
      <c r="A88" s="34" t="s">
        <v>147</v>
      </c>
      <c r="B88">
        <v>44</v>
      </c>
      <c r="C88">
        <v>0.346616406390235</v>
      </c>
      <c r="D88" s="18">
        <v>1.83100953320421</v>
      </c>
      <c r="E88" s="18">
        <v>2025</v>
      </c>
    </row>
    <row r="89" spans="1:5">
      <c r="A89" s="34" t="s">
        <v>149</v>
      </c>
      <c r="B89">
        <v>69</v>
      </c>
      <c r="C89">
        <v>0.346616406390235</v>
      </c>
      <c r="D89" s="18">
        <v>0.87786276843897404</v>
      </c>
      <c r="E89" s="18">
        <v>2025</v>
      </c>
    </row>
    <row r="90" spans="1:5">
      <c r="A90" s="34" t="s">
        <v>151</v>
      </c>
      <c r="B90">
        <v>127</v>
      </c>
      <c r="C90">
        <v>0.346616406390235</v>
      </c>
      <c r="D90" s="18">
        <v>1.5639176964079899</v>
      </c>
      <c r="E90" s="18">
        <v>2025</v>
      </c>
    </row>
    <row r="91" spans="1:5">
      <c r="A91" s="34" t="s">
        <v>153</v>
      </c>
      <c r="B91">
        <v>63</v>
      </c>
      <c r="C91">
        <v>0.346616406390235</v>
      </c>
      <c r="D91" s="18">
        <v>1.7380670239017399</v>
      </c>
      <c r="E91" s="18">
        <v>2025</v>
      </c>
    </row>
    <row r="92" spans="1:5">
      <c r="A92" s="34" t="s">
        <v>155</v>
      </c>
      <c r="B92">
        <v>29</v>
      </c>
      <c r="C92">
        <v>0.346616406390235</v>
      </c>
      <c r="D92" s="18">
        <v>1.6311797704300799</v>
      </c>
      <c r="E92" s="18">
        <v>2025</v>
      </c>
    </row>
    <row r="93" spans="1:5">
      <c r="A93" s="34" t="s">
        <v>157</v>
      </c>
      <c r="B93">
        <v>3</v>
      </c>
      <c r="C93">
        <v>0.346616406390235</v>
      </c>
      <c r="D93" s="18">
        <v>1.71080530683223</v>
      </c>
      <c r="E93" s="18">
        <v>2025</v>
      </c>
    </row>
    <row r="94" spans="1:5">
      <c r="A94" s="34" t="s">
        <v>159</v>
      </c>
      <c r="B94">
        <v>161</v>
      </c>
      <c r="C94">
        <v>0.346616406390235</v>
      </c>
      <c r="D94" s="18">
        <v>0.58974036638070904</v>
      </c>
      <c r="E94" s="18">
        <v>2025</v>
      </c>
    </row>
    <row r="95" spans="1:5">
      <c r="A95" s="34" t="s">
        <v>161</v>
      </c>
      <c r="B95">
        <v>51</v>
      </c>
      <c r="C95">
        <v>0.346616406390235</v>
      </c>
      <c r="D95" s="18">
        <v>1.0172546807548</v>
      </c>
      <c r="E95" s="18">
        <v>2025</v>
      </c>
    </row>
    <row r="96" spans="1:5">
      <c r="A96" s="34" t="s">
        <v>163</v>
      </c>
      <c r="B96">
        <v>208</v>
      </c>
      <c r="C96">
        <v>0.346616406390235</v>
      </c>
      <c r="D96" s="18">
        <v>1.2121876875098501</v>
      </c>
      <c r="E96" s="18">
        <v>2025</v>
      </c>
    </row>
    <row r="97" spans="1:5">
      <c r="A97" s="34" t="s">
        <v>165</v>
      </c>
      <c r="B97">
        <v>132</v>
      </c>
      <c r="C97">
        <v>0.346616406390235</v>
      </c>
      <c r="D97" s="18">
        <v>1.47482984956313</v>
      </c>
      <c r="E97" s="18">
        <v>2025</v>
      </c>
    </row>
    <row r="98" spans="1:5">
      <c r="A98" s="34" t="s">
        <v>167</v>
      </c>
      <c r="B98">
        <v>96</v>
      </c>
      <c r="C98">
        <v>0.346616406390235</v>
      </c>
      <c r="D98" s="18">
        <v>1.0493767132354701</v>
      </c>
      <c r="E98" s="18">
        <v>2025</v>
      </c>
    </row>
    <row r="99" spans="1:5">
      <c r="A99" s="34" t="s">
        <v>169</v>
      </c>
      <c r="B99">
        <v>145</v>
      </c>
      <c r="C99">
        <v>0.346616406390235</v>
      </c>
      <c r="D99" s="18">
        <v>1.2945294076193301</v>
      </c>
      <c r="E99" s="18">
        <v>2025</v>
      </c>
    </row>
    <row r="100" spans="1:5">
      <c r="A100" s="34" t="s">
        <v>171</v>
      </c>
      <c r="B100">
        <v>169</v>
      </c>
      <c r="C100">
        <v>0.346616406390235</v>
      </c>
      <c r="D100" s="18">
        <v>1.1213543898766001</v>
      </c>
      <c r="E100" s="18">
        <v>2025</v>
      </c>
    </row>
    <row r="101" spans="1:5">
      <c r="A101" s="34" t="s">
        <v>173</v>
      </c>
      <c r="B101">
        <v>366</v>
      </c>
      <c r="C101">
        <v>0.346616406390235</v>
      </c>
      <c r="D101" s="18">
        <v>1.03203876952469</v>
      </c>
      <c r="E101" s="18">
        <v>2025</v>
      </c>
    </row>
    <row r="102" spans="1:5">
      <c r="A102" s="34" t="s">
        <v>175</v>
      </c>
      <c r="B102">
        <v>388</v>
      </c>
      <c r="C102">
        <v>0.346616406390235</v>
      </c>
      <c r="D102" s="18">
        <v>5.9000597535376897E-2</v>
      </c>
      <c r="E102" s="18">
        <v>2025</v>
      </c>
    </row>
    <row r="103" spans="1:5">
      <c r="A103" s="34" t="s">
        <v>177</v>
      </c>
      <c r="B103">
        <v>182</v>
      </c>
      <c r="C103">
        <v>0.346616406390235</v>
      </c>
      <c r="D103" s="18">
        <v>1.1285512424450601</v>
      </c>
      <c r="E103" s="18">
        <v>2025</v>
      </c>
    </row>
    <row r="104" spans="1:5">
      <c r="A104" s="34" t="s">
        <v>179</v>
      </c>
      <c r="B104">
        <v>94</v>
      </c>
      <c r="C104">
        <v>0.346616406390235</v>
      </c>
      <c r="D104" s="18">
        <v>1.31599392122109</v>
      </c>
      <c r="E104" s="18">
        <v>2025</v>
      </c>
    </row>
    <row r="105" spans="1:5">
      <c r="A105" s="34" t="s">
        <v>181</v>
      </c>
      <c r="B105">
        <v>361</v>
      </c>
      <c r="C105">
        <v>0.346616406390235</v>
      </c>
      <c r="D105" s="18">
        <v>0.93088786114534805</v>
      </c>
      <c r="E105" s="18">
        <v>2025</v>
      </c>
    </row>
    <row r="106" spans="1:5">
      <c r="A106" s="34" t="s">
        <v>183</v>
      </c>
      <c r="B106">
        <v>28</v>
      </c>
      <c r="C106">
        <v>0.346616406390235</v>
      </c>
      <c r="D106" s="18">
        <v>1.9744109997252499</v>
      </c>
      <c r="E106" s="18">
        <v>2025</v>
      </c>
    </row>
    <row r="107" spans="1:5">
      <c r="A107" s="34" t="s">
        <v>185</v>
      </c>
      <c r="B107">
        <v>13</v>
      </c>
      <c r="C107">
        <v>0.346616406390235</v>
      </c>
      <c r="D107" s="18">
        <v>2.1767486047532199</v>
      </c>
      <c r="E107" s="18">
        <v>2025</v>
      </c>
    </row>
    <row r="108" spans="1:5">
      <c r="A108" s="34" t="s">
        <v>187</v>
      </c>
      <c r="B108">
        <v>361</v>
      </c>
      <c r="C108">
        <v>0.346616406390235</v>
      </c>
      <c r="D108" s="18">
        <v>0.37706585171553297</v>
      </c>
      <c r="E108" s="18">
        <v>2025</v>
      </c>
    </row>
    <row r="109" spans="1:5">
      <c r="A109" s="34" t="s">
        <v>189</v>
      </c>
      <c r="B109">
        <v>212</v>
      </c>
      <c r="C109">
        <v>0.346616406390235</v>
      </c>
      <c r="D109" s="18">
        <v>1.4026427163561701</v>
      </c>
      <c r="E109" s="18">
        <v>2025</v>
      </c>
    </row>
    <row r="110" spans="1:5">
      <c r="A110" s="34" t="s">
        <v>578</v>
      </c>
      <c r="B110">
        <v>475</v>
      </c>
      <c r="C110">
        <v>0.346616406390235</v>
      </c>
      <c r="D110" s="18">
        <v>0.17880350998269201</v>
      </c>
      <c r="E110" s="18">
        <v>2025</v>
      </c>
    </row>
    <row r="111" spans="1:5">
      <c r="A111" s="34" t="s">
        <v>191</v>
      </c>
      <c r="B111">
        <v>84</v>
      </c>
      <c r="C111">
        <v>0.346616406390235</v>
      </c>
      <c r="D111" s="18">
        <v>0.30857469855129699</v>
      </c>
      <c r="E111" s="18">
        <v>2025</v>
      </c>
    </row>
    <row r="112" spans="1:5">
      <c r="A112" s="34" t="s">
        <v>500</v>
      </c>
      <c r="B112">
        <v>23</v>
      </c>
      <c r="C112">
        <v>0.346616406390235</v>
      </c>
      <c r="D112" s="18">
        <v>2.13148099711665</v>
      </c>
      <c r="E112" s="18">
        <v>2025</v>
      </c>
    </row>
    <row r="113" spans="1:5">
      <c r="A113" s="34" t="s">
        <v>193</v>
      </c>
      <c r="B113">
        <v>22</v>
      </c>
      <c r="C113">
        <v>0.346616406390235</v>
      </c>
      <c r="D113" s="18">
        <v>1.4064913957166401</v>
      </c>
      <c r="E113" s="18">
        <v>2025</v>
      </c>
    </row>
    <row r="114" spans="1:5">
      <c r="A114" s="34" t="s">
        <v>994</v>
      </c>
      <c r="B114">
        <v>2</v>
      </c>
      <c r="C114">
        <v>0.346616406390235</v>
      </c>
      <c r="D114" s="18">
        <v>2.2514835701955702</v>
      </c>
      <c r="E114" s="18">
        <v>2025</v>
      </c>
    </row>
    <row r="115" spans="1:5">
      <c r="A115" s="34" t="s">
        <v>195</v>
      </c>
      <c r="B115">
        <v>114</v>
      </c>
      <c r="C115">
        <v>0.346616406390235</v>
      </c>
      <c r="D115" s="18">
        <v>0.88533954443846696</v>
      </c>
      <c r="E115" s="18">
        <v>2025</v>
      </c>
    </row>
    <row r="116" spans="1:5">
      <c r="A116" s="34" t="s">
        <v>197</v>
      </c>
      <c r="B116">
        <v>916</v>
      </c>
      <c r="C116">
        <v>0.346616406390235</v>
      </c>
      <c r="D116" s="18">
        <v>-0.33027270513736501</v>
      </c>
      <c r="E116" s="18">
        <v>2025</v>
      </c>
    </row>
    <row r="117" spans="1:5">
      <c r="A117" s="34" t="s">
        <v>591</v>
      </c>
      <c r="B117">
        <v>164</v>
      </c>
      <c r="C117">
        <v>0.346616406390235</v>
      </c>
      <c r="D117" s="18">
        <v>5.3325730214796203E-2</v>
      </c>
      <c r="E117" s="18">
        <v>2025</v>
      </c>
    </row>
    <row r="118" spans="1:5">
      <c r="A118" s="34" t="s">
        <v>199</v>
      </c>
      <c r="B118">
        <v>55</v>
      </c>
      <c r="C118">
        <v>0.346616406390235</v>
      </c>
      <c r="D118" s="18">
        <v>1.3426520510965401</v>
      </c>
      <c r="E118" s="18">
        <v>2025</v>
      </c>
    </row>
    <row r="119" spans="1:5">
      <c r="A119" s="34" t="s">
        <v>201</v>
      </c>
      <c r="B119">
        <v>151</v>
      </c>
      <c r="C119">
        <v>0.346616406390235</v>
      </c>
      <c r="D119" s="18">
        <v>0.98191866308832298</v>
      </c>
      <c r="E119" s="18">
        <v>2025</v>
      </c>
    </row>
    <row r="120" spans="1:5">
      <c r="A120" s="34" t="s">
        <v>203</v>
      </c>
      <c r="B120">
        <v>175</v>
      </c>
      <c r="C120">
        <v>0.346616406390235</v>
      </c>
      <c r="D120" s="18">
        <v>0.65322546917035296</v>
      </c>
      <c r="E120" s="18">
        <v>2025</v>
      </c>
    </row>
    <row r="121" spans="1:5">
      <c r="A121" s="34" t="s">
        <v>205</v>
      </c>
      <c r="B121">
        <v>279</v>
      </c>
      <c r="C121">
        <v>0.346616406390235</v>
      </c>
      <c r="D121" s="18">
        <v>0.37140426772027701</v>
      </c>
      <c r="E121" s="18">
        <v>2025</v>
      </c>
    </row>
    <row r="122" spans="1:5">
      <c r="A122" s="34" t="s">
        <v>207</v>
      </c>
      <c r="B122">
        <v>581</v>
      </c>
      <c r="C122">
        <v>0.346616406390235</v>
      </c>
      <c r="D122" s="18">
        <v>-2.6559354200106199E-2</v>
      </c>
      <c r="E122" s="18">
        <v>2025</v>
      </c>
    </row>
    <row r="123" spans="1:5">
      <c r="A123" s="34" t="s">
        <v>605</v>
      </c>
      <c r="B123">
        <v>630</v>
      </c>
      <c r="C123">
        <v>0.346616406390235</v>
      </c>
      <c r="D123" s="18">
        <v>4.283001598497E-3</v>
      </c>
      <c r="E123" s="18">
        <v>2025</v>
      </c>
    </row>
    <row r="124" spans="1:5">
      <c r="A124" s="34" t="s">
        <v>610</v>
      </c>
      <c r="B124">
        <v>561</v>
      </c>
      <c r="C124">
        <v>0.346616406390235</v>
      </c>
      <c r="D124" s="18">
        <v>7.4340740940264494E-2</v>
      </c>
      <c r="E124" s="18">
        <v>2025</v>
      </c>
    </row>
    <row r="125" spans="1:5">
      <c r="A125" s="34">
        <v>351</v>
      </c>
      <c r="B125">
        <v>833</v>
      </c>
      <c r="C125">
        <v>0.346616406390235</v>
      </c>
      <c r="D125" s="18">
        <v>-1.1073260408407</v>
      </c>
      <c r="E125" s="18">
        <v>2025</v>
      </c>
    </row>
    <row r="126" spans="1:5">
      <c r="A126" s="34">
        <v>352</v>
      </c>
      <c r="B126">
        <v>52</v>
      </c>
      <c r="C126">
        <v>0.346616406390235</v>
      </c>
      <c r="D126" s="18">
        <v>1.2029103967408901</v>
      </c>
      <c r="E126" s="18">
        <v>2025</v>
      </c>
    </row>
    <row r="127" spans="1:5">
      <c r="A127" s="34">
        <v>353</v>
      </c>
      <c r="B127">
        <v>55</v>
      </c>
      <c r="C127">
        <v>0.346616406390235</v>
      </c>
      <c r="D127" s="18">
        <v>1.25126473830076</v>
      </c>
      <c r="E127" s="18">
        <v>2025</v>
      </c>
    </row>
    <row r="128" spans="1:5">
      <c r="A128" s="34">
        <v>360</v>
      </c>
      <c r="B128">
        <v>1003</v>
      </c>
      <c r="C128">
        <v>0.346616406390235</v>
      </c>
      <c r="D128" s="18">
        <v>-1.3191627404945201</v>
      </c>
      <c r="E128" s="18">
        <v>2025</v>
      </c>
    </row>
    <row r="129" spans="1:5">
      <c r="A129" s="34">
        <v>370</v>
      </c>
      <c r="B129">
        <v>229</v>
      </c>
      <c r="C129">
        <v>0.346616406390235</v>
      </c>
      <c r="D129" s="18">
        <v>0.22959558683476999</v>
      </c>
      <c r="E129" s="18">
        <v>2025</v>
      </c>
    </row>
    <row r="130" spans="1:5">
      <c r="A130" s="34">
        <v>381</v>
      </c>
      <c r="B130">
        <v>421</v>
      </c>
      <c r="C130">
        <v>0.346616406390235</v>
      </c>
      <c r="D130" s="18">
        <v>-0.39242450393658301</v>
      </c>
      <c r="E130" s="18">
        <v>2025</v>
      </c>
    </row>
    <row r="131" spans="1:5">
      <c r="A131" s="34">
        <v>382</v>
      </c>
      <c r="B131">
        <v>266</v>
      </c>
      <c r="C131">
        <v>0.346616406390235</v>
      </c>
      <c r="D131" s="18">
        <v>0.22292852865374699</v>
      </c>
      <c r="E131" s="18">
        <v>2025</v>
      </c>
    </row>
    <row r="132" spans="1:5">
      <c r="A132" s="34">
        <v>383</v>
      </c>
      <c r="B132">
        <v>627</v>
      </c>
      <c r="C132">
        <v>0.346616406390235</v>
      </c>
      <c r="D132" s="18">
        <v>4.9597166167819097E-2</v>
      </c>
      <c r="E132" s="18">
        <v>2025</v>
      </c>
    </row>
    <row r="133" spans="1:5">
      <c r="A133" s="34">
        <v>390</v>
      </c>
      <c r="B133">
        <v>48</v>
      </c>
      <c r="C133">
        <v>0.346616406390235</v>
      </c>
      <c r="D133" s="18">
        <v>1.1382792491329501</v>
      </c>
      <c r="E133" s="18">
        <v>2025</v>
      </c>
    </row>
    <row r="134" spans="1:5">
      <c r="A134" s="34">
        <v>411</v>
      </c>
      <c r="B134">
        <v>309</v>
      </c>
      <c r="C134">
        <v>0.346616406390235</v>
      </c>
      <c r="D134" s="18">
        <v>0.110652027775898</v>
      </c>
      <c r="E134" s="18">
        <v>2025</v>
      </c>
    </row>
    <row r="135" spans="1:5">
      <c r="A135" s="34">
        <v>412</v>
      </c>
      <c r="B135">
        <v>1007</v>
      </c>
      <c r="C135">
        <v>0.346616406390235</v>
      </c>
      <c r="D135" s="18">
        <v>-1.23601500440755</v>
      </c>
      <c r="E135" s="18">
        <v>2025</v>
      </c>
    </row>
    <row r="136" spans="1:5">
      <c r="A136" s="34">
        <v>421</v>
      </c>
      <c r="B136">
        <v>971</v>
      </c>
      <c r="C136">
        <v>0.346616406390235</v>
      </c>
      <c r="D136" s="18">
        <v>-1.42311023583567</v>
      </c>
      <c r="E136" s="18">
        <v>2025</v>
      </c>
    </row>
    <row r="137" spans="1:5">
      <c r="A137" s="34">
        <v>422</v>
      </c>
      <c r="B137">
        <v>504</v>
      </c>
      <c r="C137">
        <v>0.346616406390235</v>
      </c>
      <c r="D137" s="18">
        <v>-0.788244773301785</v>
      </c>
      <c r="E137" s="18">
        <v>2025</v>
      </c>
    </row>
    <row r="138" spans="1:5">
      <c r="A138" s="34">
        <v>429</v>
      </c>
      <c r="B138">
        <v>596</v>
      </c>
      <c r="C138">
        <v>0.346616406390235</v>
      </c>
      <c r="D138" s="18">
        <v>-0.664029868172616</v>
      </c>
      <c r="E138" s="18">
        <v>2025</v>
      </c>
    </row>
    <row r="139" spans="1:5">
      <c r="A139" s="34">
        <v>431</v>
      </c>
      <c r="B139">
        <v>1089</v>
      </c>
      <c r="C139">
        <v>0.346616406390235</v>
      </c>
      <c r="D139" s="18">
        <v>-0.96593295943922497</v>
      </c>
      <c r="E139" s="18">
        <v>2025</v>
      </c>
    </row>
    <row r="140" spans="1:5">
      <c r="A140" s="34">
        <v>432</v>
      </c>
      <c r="B140">
        <v>387</v>
      </c>
      <c r="C140">
        <v>0.346616406390235</v>
      </c>
      <c r="D140" s="18">
        <v>-0.20177502749734</v>
      </c>
      <c r="E140" s="18">
        <v>2025</v>
      </c>
    </row>
    <row r="141" spans="1:5">
      <c r="A141" s="34">
        <v>433</v>
      </c>
      <c r="B141">
        <v>466</v>
      </c>
      <c r="C141">
        <v>0.346616406390235</v>
      </c>
      <c r="D141" s="18">
        <v>-2.3990257224153599E-2</v>
      </c>
      <c r="E141" s="18">
        <v>2025</v>
      </c>
    </row>
    <row r="142" spans="1:5">
      <c r="A142" s="34">
        <v>439</v>
      </c>
      <c r="B142">
        <v>850</v>
      </c>
      <c r="C142">
        <v>0.346616406390235</v>
      </c>
      <c r="D142" s="18">
        <v>-0.63540814779031296</v>
      </c>
      <c r="E142" s="18">
        <v>2025</v>
      </c>
    </row>
    <row r="143" spans="1:5">
      <c r="A143" s="34">
        <v>451</v>
      </c>
      <c r="B143">
        <v>380</v>
      </c>
      <c r="C143">
        <v>0.346616406390235</v>
      </c>
      <c r="D143" s="18">
        <v>0.57164139767311595</v>
      </c>
      <c r="E143" s="18">
        <v>2025</v>
      </c>
    </row>
    <row r="144" spans="1:5">
      <c r="A144" s="34">
        <v>452</v>
      </c>
      <c r="B144">
        <v>1306</v>
      </c>
      <c r="C144">
        <v>0.346616406390235</v>
      </c>
      <c r="D144" s="18">
        <v>-0.55494735443101395</v>
      </c>
      <c r="E144" s="18">
        <v>2025</v>
      </c>
    </row>
    <row r="145" spans="1:5">
      <c r="A145" s="34">
        <v>453</v>
      </c>
      <c r="B145">
        <v>1284</v>
      </c>
      <c r="C145">
        <v>0.346616406390235</v>
      </c>
      <c r="D145" s="18">
        <v>-0.63393571202092502</v>
      </c>
      <c r="E145" s="18">
        <v>2025</v>
      </c>
    </row>
    <row r="146" spans="1:5">
      <c r="A146" s="34">
        <v>454</v>
      </c>
      <c r="B146">
        <v>1389</v>
      </c>
      <c r="C146">
        <v>0.346616406390235</v>
      </c>
      <c r="D146" s="18">
        <v>-1.3392964233081199</v>
      </c>
      <c r="E146" s="18">
        <v>2025</v>
      </c>
    </row>
    <row r="147" spans="1:5">
      <c r="A147" s="34">
        <v>461</v>
      </c>
      <c r="B147">
        <v>720</v>
      </c>
      <c r="C147">
        <v>0.346616406390235</v>
      </c>
      <c r="D147" s="18">
        <v>-0.80643871655357202</v>
      </c>
      <c r="E147" s="18">
        <v>2025</v>
      </c>
    </row>
    <row r="148" spans="1:5">
      <c r="A148" s="34">
        <v>462</v>
      </c>
      <c r="B148">
        <v>1389</v>
      </c>
      <c r="C148">
        <v>0.346616406390235</v>
      </c>
      <c r="D148" s="18">
        <v>-1.2703394406812401</v>
      </c>
      <c r="E148" s="18">
        <v>2025</v>
      </c>
    </row>
    <row r="149" spans="1:5">
      <c r="A149" s="34">
        <v>463</v>
      </c>
      <c r="B149">
        <v>1082</v>
      </c>
      <c r="C149">
        <v>0.346616406390235</v>
      </c>
      <c r="D149" s="18">
        <v>-0.70112007672234999</v>
      </c>
      <c r="E149" s="18">
        <v>2025</v>
      </c>
    </row>
    <row r="150" spans="1:5">
      <c r="A150" s="34">
        <v>464</v>
      </c>
      <c r="B150">
        <v>395</v>
      </c>
      <c r="C150">
        <v>0.346616406390235</v>
      </c>
      <c r="D150" s="18">
        <v>0.27035669557789999</v>
      </c>
      <c r="E150" s="18">
        <v>2025</v>
      </c>
    </row>
    <row r="151" spans="1:5">
      <c r="A151" s="34">
        <v>465</v>
      </c>
      <c r="B151">
        <v>132</v>
      </c>
      <c r="C151">
        <v>0.346616406390235</v>
      </c>
      <c r="D151" s="18">
        <v>0.74763046641935704</v>
      </c>
      <c r="E151" s="18">
        <v>2025</v>
      </c>
    </row>
    <row r="152" spans="1:5">
      <c r="A152" s="34">
        <v>466</v>
      </c>
      <c r="B152">
        <v>601</v>
      </c>
      <c r="C152">
        <v>0.346616406390235</v>
      </c>
      <c r="D152" s="18">
        <v>-8.3400533272060304E-2</v>
      </c>
      <c r="E152" s="18">
        <v>2025</v>
      </c>
    </row>
    <row r="153" spans="1:5">
      <c r="A153" s="34">
        <v>467</v>
      </c>
      <c r="B153">
        <v>728</v>
      </c>
      <c r="C153">
        <v>0.346616406390235</v>
      </c>
      <c r="D153" s="18">
        <v>-0.38053608363964198</v>
      </c>
      <c r="E153" s="18">
        <v>2025</v>
      </c>
    </row>
    <row r="154" spans="1:5">
      <c r="A154" s="34">
        <v>468</v>
      </c>
      <c r="B154">
        <v>1174</v>
      </c>
      <c r="C154">
        <v>0.346616406390235</v>
      </c>
      <c r="D154" s="18">
        <v>-0.50622267883650796</v>
      </c>
      <c r="E154" s="18">
        <v>2025</v>
      </c>
    </row>
    <row r="155" spans="1:5">
      <c r="A155" s="34">
        <v>469</v>
      </c>
      <c r="B155">
        <v>751</v>
      </c>
      <c r="C155">
        <v>0.346616406390235</v>
      </c>
      <c r="D155" s="18">
        <v>-0.52687790321608696</v>
      </c>
      <c r="E155" s="18">
        <v>2025</v>
      </c>
    </row>
    <row r="156" spans="1:5">
      <c r="A156" s="34">
        <v>471</v>
      </c>
      <c r="B156">
        <v>2299</v>
      </c>
      <c r="C156">
        <v>0.346616406390235</v>
      </c>
      <c r="D156" s="18">
        <v>-1.22077137508643</v>
      </c>
      <c r="E156" s="18">
        <v>2025</v>
      </c>
    </row>
    <row r="157" spans="1:5">
      <c r="A157" s="34">
        <v>472</v>
      </c>
      <c r="B157">
        <v>1456</v>
      </c>
      <c r="C157">
        <v>0.346616406390235</v>
      </c>
      <c r="D157" s="18">
        <v>-1.00086770189203</v>
      </c>
      <c r="E157" s="18">
        <v>2025</v>
      </c>
    </row>
    <row r="158" spans="1:5">
      <c r="A158" s="34">
        <v>473</v>
      </c>
      <c r="B158">
        <v>3401</v>
      </c>
      <c r="C158">
        <v>0.346616406390235</v>
      </c>
      <c r="D158" s="18">
        <v>-1.5750696300206</v>
      </c>
      <c r="E158" s="18">
        <v>2025</v>
      </c>
    </row>
    <row r="159" spans="1:5">
      <c r="A159" s="34">
        <v>474</v>
      </c>
      <c r="B159">
        <v>2668</v>
      </c>
      <c r="C159">
        <v>0.346616406390235</v>
      </c>
      <c r="D159" s="18">
        <v>-1.25931342726107</v>
      </c>
      <c r="E159" s="18">
        <v>2025</v>
      </c>
    </row>
    <row r="160" spans="1:5">
      <c r="A160" s="34">
        <v>475</v>
      </c>
      <c r="B160">
        <v>2016</v>
      </c>
      <c r="C160">
        <v>0.346616406390235</v>
      </c>
      <c r="D160" s="18">
        <v>-1.3369337171831901</v>
      </c>
      <c r="E160" s="18">
        <v>2025</v>
      </c>
    </row>
    <row r="161" spans="1:5">
      <c r="A161" s="34">
        <v>476</v>
      </c>
      <c r="B161">
        <v>957</v>
      </c>
      <c r="C161">
        <v>0.346616406390235</v>
      </c>
      <c r="D161" s="18">
        <v>-0.71041321637539701</v>
      </c>
      <c r="E161" s="18">
        <v>2025</v>
      </c>
    </row>
    <row r="162" spans="1:5">
      <c r="A162" s="34">
        <v>477</v>
      </c>
      <c r="B162">
        <v>2071</v>
      </c>
      <c r="C162">
        <v>0.346616406390235</v>
      </c>
      <c r="D162" s="18">
        <v>-1.4392168940391401</v>
      </c>
      <c r="E162" s="18">
        <v>2025</v>
      </c>
    </row>
    <row r="163" spans="1:5">
      <c r="A163" s="34">
        <v>478</v>
      </c>
      <c r="B163">
        <v>1509</v>
      </c>
      <c r="C163">
        <v>0.346616406390235</v>
      </c>
      <c r="D163" s="18">
        <v>-0.74758161646262</v>
      </c>
      <c r="E163" s="18">
        <v>2025</v>
      </c>
    </row>
    <row r="164" spans="1:5">
      <c r="A164" s="34">
        <v>491</v>
      </c>
      <c r="B164">
        <v>38</v>
      </c>
      <c r="C164">
        <v>0.346616406390235</v>
      </c>
      <c r="D164" s="18">
        <v>1.0574662013776299</v>
      </c>
      <c r="E164" s="18">
        <v>2025</v>
      </c>
    </row>
    <row r="165" spans="1:5">
      <c r="A165" s="34">
        <v>492</v>
      </c>
      <c r="B165">
        <v>637</v>
      </c>
      <c r="C165">
        <v>0.346616406390235</v>
      </c>
      <c r="D165" s="18">
        <v>-0.52835383938874603</v>
      </c>
      <c r="E165" s="18">
        <v>2025</v>
      </c>
    </row>
    <row r="166" spans="1:5">
      <c r="A166" s="34">
        <v>493</v>
      </c>
      <c r="B166">
        <v>1293</v>
      </c>
      <c r="C166">
        <v>0.346616406390235</v>
      </c>
      <c r="D166" s="18">
        <v>-0.48235639804934499</v>
      </c>
      <c r="E166" s="18">
        <v>2025</v>
      </c>
    </row>
    <row r="167" spans="1:5">
      <c r="A167" s="34">
        <v>494</v>
      </c>
      <c r="B167">
        <v>58</v>
      </c>
      <c r="C167">
        <v>0.346616406390235</v>
      </c>
      <c r="D167" s="18">
        <v>0.89663910536649805</v>
      </c>
      <c r="E167" s="18">
        <v>2025</v>
      </c>
    </row>
    <row r="168" spans="1:5">
      <c r="A168" s="34">
        <v>495</v>
      </c>
      <c r="B168">
        <v>15</v>
      </c>
      <c r="C168">
        <v>0.346616406390235</v>
      </c>
      <c r="D168" s="18">
        <v>0.90061686785421302</v>
      </c>
      <c r="E168" s="18">
        <v>2025</v>
      </c>
    </row>
    <row r="169" spans="1:5">
      <c r="A169" s="34">
        <v>501</v>
      </c>
      <c r="B169">
        <v>35</v>
      </c>
      <c r="C169">
        <v>0.346616406390235</v>
      </c>
      <c r="D169" s="18">
        <v>0.26933311331948301</v>
      </c>
      <c r="E169" s="18">
        <v>2025</v>
      </c>
    </row>
    <row r="170" spans="1:5">
      <c r="A170" s="34">
        <v>502</v>
      </c>
      <c r="B170">
        <v>104</v>
      </c>
      <c r="C170">
        <v>0.346616406390235</v>
      </c>
      <c r="D170" s="18">
        <v>-1.4333201914369</v>
      </c>
      <c r="E170" s="18">
        <v>2025</v>
      </c>
    </row>
    <row r="171" spans="1:5">
      <c r="A171" s="34">
        <v>503</v>
      </c>
      <c r="B171">
        <v>43</v>
      </c>
      <c r="C171">
        <v>0.346616406390235</v>
      </c>
      <c r="D171" s="18">
        <v>0.501928431289969</v>
      </c>
      <c r="E171" s="18">
        <v>2025</v>
      </c>
    </row>
    <row r="172" spans="1:5">
      <c r="A172" s="34">
        <v>509</v>
      </c>
      <c r="B172">
        <v>205</v>
      </c>
      <c r="C172">
        <v>0.346616406390235</v>
      </c>
      <c r="D172" s="18">
        <v>-1.3789047350844701</v>
      </c>
      <c r="E172" s="18">
        <v>2025</v>
      </c>
    </row>
    <row r="173" spans="1:5">
      <c r="A173" s="34">
        <v>511</v>
      </c>
      <c r="B173">
        <v>46</v>
      </c>
      <c r="C173">
        <v>0.346616406390235</v>
      </c>
      <c r="D173" s="18">
        <v>0.88336659241743598</v>
      </c>
      <c r="E173" s="18">
        <v>2025</v>
      </c>
    </row>
    <row r="174" spans="1:5">
      <c r="A174" s="34">
        <v>512</v>
      </c>
      <c r="B174">
        <v>27</v>
      </c>
      <c r="C174">
        <v>0.346616406390235</v>
      </c>
      <c r="D174" s="18">
        <v>1.6398002269556999</v>
      </c>
      <c r="E174" s="18">
        <v>2025</v>
      </c>
    </row>
    <row r="175" spans="1:5">
      <c r="A175" s="34">
        <v>513</v>
      </c>
      <c r="B175">
        <v>2</v>
      </c>
      <c r="C175">
        <v>0.346616406390235</v>
      </c>
      <c r="D175" s="18">
        <v>1.9713315651427701</v>
      </c>
      <c r="E175" s="18">
        <v>2025</v>
      </c>
    </row>
    <row r="176" spans="1:5">
      <c r="A176" s="34">
        <v>521</v>
      </c>
      <c r="B176">
        <v>670</v>
      </c>
      <c r="C176">
        <v>0.346616406390235</v>
      </c>
      <c r="D176" s="18">
        <v>-0.46405455189043399</v>
      </c>
      <c r="E176" s="18">
        <v>2025</v>
      </c>
    </row>
    <row r="177" spans="1:5">
      <c r="A177" s="34">
        <v>522</v>
      </c>
      <c r="B177">
        <v>281</v>
      </c>
      <c r="C177">
        <v>0.346616406390235</v>
      </c>
      <c r="D177" s="18">
        <v>-5.96064694673758E-2</v>
      </c>
      <c r="E177" s="18">
        <v>2025</v>
      </c>
    </row>
    <row r="178" spans="1:5">
      <c r="A178" s="34">
        <v>523</v>
      </c>
      <c r="B178">
        <v>62</v>
      </c>
      <c r="C178">
        <v>0.346616406390235</v>
      </c>
      <c r="D178" s="18">
        <v>0.40840228526355399</v>
      </c>
      <c r="E178" s="18">
        <v>2025</v>
      </c>
    </row>
    <row r="179" spans="1:5">
      <c r="A179" s="34">
        <v>524</v>
      </c>
      <c r="B179">
        <v>72</v>
      </c>
      <c r="C179">
        <v>0.346616406390235</v>
      </c>
      <c r="D179" s="18">
        <v>0.37990851167457101</v>
      </c>
      <c r="E179" s="18">
        <v>2025</v>
      </c>
    </row>
    <row r="180" spans="1:5">
      <c r="A180" s="34">
        <v>525</v>
      </c>
      <c r="B180">
        <v>201</v>
      </c>
      <c r="C180">
        <v>0.346616406390235</v>
      </c>
      <c r="D180" s="18">
        <v>0.56190479865249399</v>
      </c>
      <c r="E180" s="18">
        <v>2025</v>
      </c>
    </row>
    <row r="181" spans="1:5">
      <c r="A181" s="34">
        <v>531</v>
      </c>
      <c r="B181">
        <v>2418</v>
      </c>
      <c r="C181">
        <v>0.346616406390235</v>
      </c>
      <c r="D181" s="18">
        <v>-2.2280050389650201</v>
      </c>
      <c r="E181" s="18">
        <v>2025</v>
      </c>
    </row>
    <row r="182" spans="1:5">
      <c r="A182" s="34">
        <v>532</v>
      </c>
      <c r="B182">
        <v>401</v>
      </c>
      <c r="C182">
        <v>0.346616406390235</v>
      </c>
      <c r="D182" s="18">
        <v>-0.48060343176526299</v>
      </c>
      <c r="E182" s="18">
        <v>2025</v>
      </c>
    </row>
    <row r="183" spans="1:5">
      <c r="A183" s="34">
        <v>551</v>
      </c>
      <c r="B183">
        <v>957</v>
      </c>
      <c r="C183">
        <v>0.346616406390235</v>
      </c>
      <c r="D183" s="18">
        <v>-1.0470043988045199</v>
      </c>
      <c r="E183" s="18">
        <v>2025</v>
      </c>
    </row>
    <row r="184" spans="1:5">
      <c r="A184" s="34">
        <v>559</v>
      </c>
      <c r="B184">
        <v>787</v>
      </c>
      <c r="C184">
        <v>0.346616406390235</v>
      </c>
      <c r="D184" s="18">
        <v>-1.0475926263161699</v>
      </c>
      <c r="E184" s="18">
        <v>2025</v>
      </c>
    </row>
    <row r="185" spans="1:5">
      <c r="A185" s="34">
        <v>561</v>
      </c>
      <c r="B185">
        <v>672</v>
      </c>
      <c r="C185">
        <v>0.346616406390235</v>
      </c>
      <c r="D185" s="18">
        <v>-0.57079977728172104</v>
      </c>
      <c r="E185" s="18">
        <v>2025</v>
      </c>
    </row>
    <row r="186" spans="1:5">
      <c r="A186" s="34">
        <v>562</v>
      </c>
      <c r="B186">
        <v>359</v>
      </c>
      <c r="C186">
        <v>0.346616406390235</v>
      </c>
      <c r="D186" s="18">
        <v>9.6154785989538902E-2</v>
      </c>
      <c r="E186" s="18">
        <v>2025</v>
      </c>
    </row>
    <row r="187" spans="1:5">
      <c r="A187" s="34" t="s">
        <v>209</v>
      </c>
      <c r="B187">
        <v>189</v>
      </c>
      <c r="C187">
        <v>0.346616406390235</v>
      </c>
      <c r="D187" s="18">
        <v>-0.121634501192697</v>
      </c>
      <c r="E187" s="18">
        <v>2025</v>
      </c>
    </row>
    <row r="188" spans="1:5">
      <c r="A188" s="34">
        <v>582</v>
      </c>
      <c r="B188">
        <v>257</v>
      </c>
      <c r="C188">
        <v>0.346616406390235</v>
      </c>
      <c r="D188" s="18">
        <v>0.20981263903946301</v>
      </c>
      <c r="E188" s="18">
        <v>2025</v>
      </c>
    </row>
    <row r="189" spans="1:5">
      <c r="A189" s="34">
        <v>591</v>
      </c>
      <c r="B189">
        <v>195</v>
      </c>
      <c r="C189">
        <v>0.346616406390235</v>
      </c>
      <c r="D189" s="18">
        <v>0.27256610009364601</v>
      </c>
      <c r="E189" s="18">
        <v>2025</v>
      </c>
    </row>
    <row r="190" spans="1:5">
      <c r="A190" s="34">
        <v>592</v>
      </c>
      <c r="B190">
        <v>90</v>
      </c>
      <c r="C190">
        <v>0.346616406390235</v>
      </c>
      <c r="D190" s="18">
        <v>0.34339719199824598</v>
      </c>
      <c r="E190" s="18">
        <v>2025</v>
      </c>
    </row>
    <row r="191" spans="1:5">
      <c r="A191" s="34">
        <v>601</v>
      </c>
      <c r="B191">
        <v>1058</v>
      </c>
      <c r="C191">
        <v>0.346616406390235</v>
      </c>
      <c r="D191" s="18">
        <v>-0.55503771817999104</v>
      </c>
      <c r="E191" s="18">
        <v>2025</v>
      </c>
    </row>
    <row r="192" spans="1:5">
      <c r="A192" s="34">
        <v>602</v>
      </c>
      <c r="B192">
        <v>92</v>
      </c>
      <c r="C192">
        <v>0.346616406390235</v>
      </c>
      <c r="D192" s="18">
        <v>0.81408451602079102</v>
      </c>
      <c r="E192" s="18">
        <v>2025</v>
      </c>
    </row>
    <row r="193" spans="1:5">
      <c r="A193" s="34">
        <v>611</v>
      </c>
      <c r="B193">
        <v>1773</v>
      </c>
      <c r="C193">
        <v>0.346616406390235</v>
      </c>
      <c r="D193" s="18">
        <v>-1.70123885763491</v>
      </c>
      <c r="E193" s="18">
        <v>2025</v>
      </c>
    </row>
    <row r="194" spans="1:5">
      <c r="A194" s="34">
        <v>612</v>
      </c>
      <c r="B194">
        <v>52</v>
      </c>
      <c r="C194">
        <v>0.346616406390235</v>
      </c>
      <c r="D194" s="18">
        <v>0.83312005447350901</v>
      </c>
      <c r="E194" s="18">
        <v>2025</v>
      </c>
    </row>
    <row r="195" spans="1:5">
      <c r="A195" s="34">
        <v>613</v>
      </c>
      <c r="B195">
        <v>27</v>
      </c>
      <c r="C195">
        <v>0.346616406390235</v>
      </c>
      <c r="D195" s="18">
        <v>0.88386878683410797</v>
      </c>
      <c r="E195" s="18">
        <v>2025</v>
      </c>
    </row>
    <row r="196" spans="1:5">
      <c r="A196" s="34">
        <v>614</v>
      </c>
      <c r="B196">
        <v>61</v>
      </c>
      <c r="C196">
        <v>0.346616406390235</v>
      </c>
      <c r="D196" s="18">
        <v>-2.2657096093126501E-2</v>
      </c>
      <c r="E196" s="18">
        <v>2025</v>
      </c>
    </row>
    <row r="197" spans="1:5">
      <c r="A197" s="34">
        <v>619</v>
      </c>
      <c r="B197">
        <v>1301</v>
      </c>
      <c r="C197">
        <v>0.346616406390235</v>
      </c>
      <c r="D197" s="18">
        <v>-1.30569091285363</v>
      </c>
      <c r="E197" s="18">
        <v>2025</v>
      </c>
    </row>
    <row r="198" spans="1:5">
      <c r="A198" s="34" t="s">
        <v>211</v>
      </c>
      <c r="B198">
        <v>170</v>
      </c>
      <c r="C198">
        <v>0.346616406390235</v>
      </c>
      <c r="D198" s="18">
        <v>9.9233405631967295E-2</v>
      </c>
      <c r="E198" s="18">
        <v>2025</v>
      </c>
    </row>
    <row r="199" spans="1:5">
      <c r="A199" s="34">
        <v>631</v>
      </c>
      <c r="B199">
        <v>237</v>
      </c>
      <c r="C199">
        <v>0.346616406390235</v>
      </c>
      <c r="D199" s="18">
        <v>-0.36457191002228201</v>
      </c>
      <c r="E199" s="18">
        <v>2025</v>
      </c>
    </row>
    <row r="200" spans="1:5">
      <c r="A200" s="34">
        <v>639</v>
      </c>
      <c r="B200">
        <v>230</v>
      </c>
      <c r="C200">
        <v>0.346616406390235</v>
      </c>
      <c r="D200" s="18">
        <v>-0.21723451094388699</v>
      </c>
      <c r="E200" s="18">
        <v>2025</v>
      </c>
    </row>
    <row r="201" spans="1:5">
      <c r="A201" s="34">
        <v>641</v>
      </c>
      <c r="B201">
        <v>10</v>
      </c>
      <c r="C201">
        <v>0.346616406390235</v>
      </c>
      <c r="D201" s="18">
        <v>1.7724440549524001</v>
      </c>
      <c r="E201" s="18">
        <v>2025</v>
      </c>
    </row>
    <row r="202" spans="1:5">
      <c r="A202" s="34">
        <v>642</v>
      </c>
      <c r="B202">
        <v>1645</v>
      </c>
      <c r="C202">
        <v>0.346616406390235</v>
      </c>
      <c r="D202" s="18">
        <v>-1.37869446677954</v>
      </c>
      <c r="E202" s="18">
        <v>2025</v>
      </c>
    </row>
    <row r="203" spans="1:5">
      <c r="A203" s="34">
        <v>643</v>
      </c>
      <c r="B203">
        <v>53</v>
      </c>
      <c r="C203">
        <v>0.346616406390235</v>
      </c>
      <c r="D203" s="18">
        <v>0.82826464312385994</v>
      </c>
      <c r="E203" s="18">
        <v>2025</v>
      </c>
    </row>
    <row r="204" spans="1:5">
      <c r="A204" s="34">
        <v>644</v>
      </c>
      <c r="B204">
        <v>2</v>
      </c>
      <c r="C204">
        <v>0.346616406390235</v>
      </c>
      <c r="D204" s="18">
        <v>2.6298826852173902</v>
      </c>
      <c r="E204" s="18">
        <v>2025</v>
      </c>
    </row>
    <row r="205" spans="1:5">
      <c r="A205" s="34">
        <v>645</v>
      </c>
      <c r="B205">
        <v>4</v>
      </c>
      <c r="C205">
        <v>0.346616406390235</v>
      </c>
      <c r="D205" s="18">
        <v>1.69774885067559</v>
      </c>
      <c r="E205" s="18">
        <v>2025</v>
      </c>
    </row>
    <row r="206" spans="1:5">
      <c r="A206" s="34">
        <v>646</v>
      </c>
      <c r="B206">
        <v>185</v>
      </c>
      <c r="C206">
        <v>0.346616406390235</v>
      </c>
      <c r="D206" s="18">
        <v>-0.300427336425867</v>
      </c>
      <c r="E206" s="18">
        <v>2025</v>
      </c>
    </row>
    <row r="207" spans="1:5">
      <c r="A207" s="34">
        <v>647</v>
      </c>
      <c r="B207">
        <v>1</v>
      </c>
      <c r="C207">
        <v>0.346616406390235</v>
      </c>
      <c r="D207" s="18">
        <v>1.8164810481887399</v>
      </c>
      <c r="E207" s="18">
        <v>2025</v>
      </c>
    </row>
    <row r="208" spans="1:5">
      <c r="A208" s="34">
        <v>649</v>
      </c>
      <c r="B208">
        <v>90</v>
      </c>
      <c r="C208">
        <v>0.346616406390235</v>
      </c>
      <c r="D208" s="18">
        <v>0.60997010692615505</v>
      </c>
      <c r="E208" s="18">
        <v>2025</v>
      </c>
    </row>
    <row r="209" spans="1:5">
      <c r="A209" s="34">
        <v>651</v>
      </c>
      <c r="B209">
        <v>32</v>
      </c>
      <c r="C209">
        <v>0.346616406390235</v>
      </c>
      <c r="D209" s="18">
        <v>5.0704408115983299E-2</v>
      </c>
      <c r="E209" s="18">
        <v>2025</v>
      </c>
    </row>
    <row r="210" spans="1:5">
      <c r="A210" s="34">
        <v>652</v>
      </c>
      <c r="B210">
        <v>3</v>
      </c>
      <c r="C210">
        <v>0.346616406390235</v>
      </c>
      <c r="D210" s="18">
        <v>2.5894658799188002</v>
      </c>
      <c r="E210" s="18">
        <v>2025</v>
      </c>
    </row>
    <row r="211" spans="1:5">
      <c r="A211" s="34">
        <v>653</v>
      </c>
      <c r="B211">
        <v>2</v>
      </c>
      <c r="C211">
        <v>0.346616406390235</v>
      </c>
      <c r="D211" s="18">
        <v>2.3813001234788702</v>
      </c>
      <c r="E211" s="18">
        <v>2025</v>
      </c>
    </row>
    <row r="212" spans="1:5">
      <c r="A212" s="34">
        <v>654</v>
      </c>
      <c r="B212">
        <v>27</v>
      </c>
      <c r="C212">
        <v>0.346616406390235</v>
      </c>
      <c r="D212" s="18">
        <v>0.68158786035254104</v>
      </c>
      <c r="E212" s="18">
        <v>2025</v>
      </c>
    </row>
    <row r="213" spans="1:5">
      <c r="A213" s="34">
        <v>655</v>
      </c>
      <c r="B213">
        <v>185</v>
      </c>
      <c r="C213">
        <v>0.346616406390235</v>
      </c>
      <c r="D213" s="18">
        <v>1.1747123027889601</v>
      </c>
      <c r="E213" s="18">
        <v>2025</v>
      </c>
    </row>
    <row r="214" spans="1:5">
      <c r="A214" s="34">
        <v>661</v>
      </c>
      <c r="B214">
        <v>130</v>
      </c>
      <c r="C214">
        <v>0.346616406390235</v>
      </c>
      <c r="D214" s="18">
        <v>-0.74195629553929798</v>
      </c>
      <c r="E214" s="18">
        <v>2025</v>
      </c>
    </row>
    <row r="215" spans="1:5">
      <c r="A215" s="34">
        <v>662</v>
      </c>
      <c r="B215">
        <v>358</v>
      </c>
      <c r="C215">
        <v>0.346616406390235</v>
      </c>
      <c r="D215" s="18">
        <v>4.8918683528865997E-2</v>
      </c>
      <c r="E215" s="18">
        <v>2025</v>
      </c>
    </row>
    <row r="216" spans="1:5">
      <c r="A216" s="34">
        <v>663</v>
      </c>
      <c r="B216">
        <v>40</v>
      </c>
      <c r="C216">
        <v>0.346616406390235</v>
      </c>
      <c r="D216" s="18">
        <v>0.19963112511527101</v>
      </c>
      <c r="E216" s="18">
        <v>2025</v>
      </c>
    </row>
    <row r="217" spans="1:5">
      <c r="A217" s="34">
        <v>681</v>
      </c>
      <c r="B217">
        <v>638</v>
      </c>
      <c r="C217">
        <v>0.346616406390235</v>
      </c>
      <c r="D217" s="18">
        <v>-0.36422197521712302</v>
      </c>
      <c r="E217" s="18">
        <v>2025</v>
      </c>
    </row>
    <row r="218" spans="1:5">
      <c r="A218" s="34">
        <v>682</v>
      </c>
      <c r="B218">
        <v>311</v>
      </c>
      <c r="C218">
        <v>0.346616406390235</v>
      </c>
      <c r="D218" s="18">
        <v>0.28065860212006699</v>
      </c>
      <c r="E218" s="18">
        <v>2025</v>
      </c>
    </row>
    <row r="219" spans="1:5">
      <c r="A219" s="34">
        <v>691</v>
      </c>
      <c r="B219">
        <v>2089</v>
      </c>
      <c r="C219">
        <v>0.346616406390235</v>
      </c>
      <c r="D219" s="18">
        <v>-1.8367484309973201</v>
      </c>
      <c r="E219" s="18">
        <v>2025</v>
      </c>
    </row>
    <row r="220" spans="1:5">
      <c r="A220" s="34">
        <v>692</v>
      </c>
      <c r="B220">
        <v>1331</v>
      </c>
      <c r="C220">
        <v>0.346616406390235</v>
      </c>
      <c r="D220" s="18">
        <v>-0.64019802524536096</v>
      </c>
      <c r="E220" s="18">
        <v>2025</v>
      </c>
    </row>
    <row r="221" spans="1:5">
      <c r="A221" s="34">
        <v>702</v>
      </c>
      <c r="B221">
        <v>301</v>
      </c>
      <c r="C221">
        <v>0.346616406390235</v>
      </c>
      <c r="D221" s="18">
        <v>-0.91706258642355798</v>
      </c>
      <c r="E221" s="18">
        <v>2025</v>
      </c>
    </row>
    <row r="222" spans="1:5">
      <c r="A222" s="34">
        <v>711</v>
      </c>
      <c r="B222">
        <v>511</v>
      </c>
      <c r="C222">
        <v>0.346616406390235</v>
      </c>
      <c r="D222" s="18">
        <v>-0.73928583906013601</v>
      </c>
      <c r="E222" s="18">
        <v>2025</v>
      </c>
    </row>
    <row r="223" spans="1:5">
      <c r="A223" s="34">
        <v>712</v>
      </c>
      <c r="B223">
        <v>224</v>
      </c>
      <c r="C223">
        <v>0.346616406390235</v>
      </c>
      <c r="D223" s="18">
        <v>0.75314646543709096</v>
      </c>
      <c r="E223" s="18">
        <v>2025</v>
      </c>
    </row>
    <row r="224" spans="1:5">
      <c r="A224" s="34">
        <v>721</v>
      </c>
      <c r="B224">
        <v>173</v>
      </c>
      <c r="C224">
        <v>0.346616406390235</v>
      </c>
      <c r="D224" s="18">
        <v>0.28141713219355702</v>
      </c>
      <c r="E224" s="18">
        <v>2025</v>
      </c>
    </row>
    <row r="225" spans="1:5">
      <c r="A225" s="34">
        <v>722</v>
      </c>
      <c r="B225">
        <v>39</v>
      </c>
      <c r="C225">
        <v>0.346616406390235</v>
      </c>
      <c r="D225" s="18">
        <v>0.45830251831006802</v>
      </c>
      <c r="E225" s="18">
        <v>2025</v>
      </c>
    </row>
    <row r="226" spans="1:5">
      <c r="A226" s="34">
        <v>731</v>
      </c>
      <c r="B226">
        <v>427</v>
      </c>
      <c r="C226">
        <v>0.346616406390235</v>
      </c>
      <c r="D226" s="18">
        <v>-0.71099655151296604</v>
      </c>
      <c r="E226" s="18">
        <v>2025</v>
      </c>
    </row>
    <row r="227" spans="1:5">
      <c r="A227" s="34">
        <v>732</v>
      </c>
      <c r="B227">
        <v>32</v>
      </c>
      <c r="C227">
        <v>0.346616406390235</v>
      </c>
      <c r="D227" s="18">
        <v>0.122570415634995</v>
      </c>
      <c r="E227" s="18">
        <v>2025</v>
      </c>
    </row>
    <row r="228" spans="1:5">
      <c r="A228" s="34">
        <v>741</v>
      </c>
      <c r="B228">
        <v>178</v>
      </c>
      <c r="C228">
        <v>0.346616406390235</v>
      </c>
      <c r="D228" s="18">
        <v>0.60217422660590603</v>
      </c>
      <c r="E228" s="18">
        <v>2025</v>
      </c>
    </row>
    <row r="229" spans="1:5">
      <c r="A229" s="34">
        <v>742</v>
      </c>
      <c r="B229">
        <v>602</v>
      </c>
      <c r="C229">
        <v>0.346616406390235</v>
      </c>
      <c r="D229" s="18">
        <v>-0.29705746085037399</v>
      </c>
      <c r="E229" s="18">
        <v>2025</v>
      </c>
    </row>
    <row r="230" spans="1:5">
      <c r="A230" s="34">
        <v>749</v>
      </c>
      <c r="B230">
        <v>516</v>
      </c>
      <c r="C230">
        <v>0.346616406390235</v>
      </c>
      <c r="D230" s="18">
        <v>-1.01683429192939</v>
      </c>
      <c r="E230" s="18">
        <v>2025</v>
      </c>
    </row>
    <row r="231" spans="1:5">
      <c r="A231" s="34">
        <v>750</v>
      </c>
      <c r="B231">
        <v>881</v>
      </c>
      <c r="C231">
        <v>0.346616406390235</v>
      </c>
      <c r="D231" s="18">
        <v>-0.41401038308029398</v>
      </c>
      <c r="E231" s="18">
        <v>2025</v>
      </c>
    </row>
    <row r="232" spans="1:5">
      <c r="A232" s="34">
        <v>771</v>
      </c>
      <c r="B232">
        <v>411</v>
      </c>
      <c r="C232">
        <v>0.346616406390235</v>
      </c>
      <c r="D232" s="18">
        <v>-0.65418541513877604</v>
      </c>
      <c r="E232" s="18">
        <v>2025</v>
      </c>
    </row>
    <row r="233" spans="1:5">
      <c r="A233" s="34">
        <v>772</v>
      </c>
      <c r="B233">
        <v>420</v>
      </c>
      <c r="C233">
        <v>0.346616406390235</v>
      </c>
      <c r="D233" s="18">
        <v>-1.8510129283327299E-2</v>
      </c>
      <c r="E233" s="18">
        <v>2025</v>
      </c>
    </row>
    <row r="234" spans="1:5">
      <c r="A234" s="34">
        <v>773</v>
      </c>
      <c r="B234">
        <v>706</v>
      </c>
      <c r="C234">
        <v>0.346616406390235</v>
      </c>
      <c r="D234" s="18">
        <v>-0.62980048349821205</v>
      </c>
      <c r="E234" s="18">
        <v>2025</v>
      </c>
    </row>
    <row r="235" spans="1:5">
      <c r="A235" s="34">
        <v>774</v>
      </c>
      <c r="B235">
        <v>168</v>
      </c>
      <c r="C235">
        <v>0.346616406390235</v>
      </c>
      <c r="D235" s="18">
        <v>0.41726447011978102</v>
      </c>
      <c r="E235" s="18">
        <v>2025</v>
      </c>
    </row>
    <row r="236" spans="1:5">
      <c r="A236" s="34">
        <v>781</v>
      </c>
      <c r="B236">
        <v>360</v>
      </c>
      <c r="C236">
        <v>0.346616406390235</v>
      </c>
      <c r="D236" s="18">
        <v>-0.76046343948508599</v>
      </c>
      <c r="E236" s="18">
        <v>2025</v>
      </c>
    </row>
    <row r="237" spans="1:5">
      <c r="A237" s="34">
        <v>782</v>
      </c>
      <c r="B237">
        <v>111</v>
      </c>
      <c r="C237">
        <v>0.346616406390235</v>
      </c>
      <c r="D237" s="18">
        <v>0.84039601325907798</v>
      </c>
      <c r="E237" s="18">
        <v>2025</v>
      </c>
    </row>
    <row r="238" spans="1:5">
      <c r="A238" s="34">
        <v>783</v>
      </c>
      <c r="B238">
        <v>77</v>
      </c>
      <c r="C238">
        <v>0.346616406390235</v>
      </c>
      <c r="D238" s="18">
        <v>0.84147848190420904</v>
      </c>
      <c r="E238" s="18">
        <v>2025</v>
      </c>
    </row>
    <row r="239" spans="1:5">
      <c r="A239" s="34">
        <v>791</v>
      </c>
      <c r="B239">
        <v>344</v>
      </c>
      <c r="C239">
        <v>0.346616406390235</v>
      </c>
      <c r="D239" s="18">
        <v>-0.64335684752246802</v>
      </c>
      <c r="E239" s="18">
        <v>2025</v>
      </c>
    </row>
    <row r="240" spans="1:5">
      <c r="A240" s="34">
        <v>799</v>
      </c>
      <c r="B240">
        <v>339</v>
      </c>
      <c r="C240">
        <v>0.346616406390235</v>
      </c>
      <c r="D240" s="18">
        <v>-0.62577167014583002</v>
      </c>
      <c r="E240" s="18">
        <v>2025</v>
      </c>
    </row>
    <row r="241" spans="1:5">
      <c r="A241" s="34">
        <v>801</v>
      </c>
      <c r="B241">
        <v>163</v>
      </c>
      <c r="C241">
        <v>0.346616406390235</v>
      </c>
      <c r="D241" s="18">
        <v>0.37963706450685902</v>
      </c>
      <c r="E241" s="18">
        <v>2025</v>
      </c>
    </row>
    <row r="242" spans="1:5">
      <c r="A242" s="34">
        <v>802</v>
      </c>
      <c r="B242">
        <v>370</v>
      </c>
      <c r="C242">
        <v>0.346616406390235</v>
      </c>
      <c r="D242" s="18">
        <v>0.18945087269747601</v>
      </c>
      <c r="E242" s="18">
        <v>2025</v>
      </c>
    </row>
    <row r="243" spans="1:5">
      <c r="A243" s="34">
        <v>803</v>
      </c>
      <c r="B243">
        <v>16</v>
      </c>
      <c r="C243">
        <v>0.346616406390235</v>
      </c>
      <c r="D243" s="18">
        <v>1.26484010621765</v>
      </c>
      <c r="E243" s="18">
        <v>2025</v>
      </c>
    </row>
    <row r="244" spans="1:5">
      <c r="A244" s="34">
        <v>811</v>
      </c>
      <c r="B244">
        <v>239</v>
      </c>
      <c r="C244">
        <v>0.346616406390235</v>
      </c>
      <c r="D244" s="18">
        <v>0.123311075497995</v>
      </c>
      <c r="E244" s="18">
        <v>2025</v>
      </c>
    </row>
    <row r="245" spans="1:5">
      <c r="A245" s="34">
        <v>812</v>
      </c>
      <c r="B245">
        <v>228</v>
      </c>
      <c r="C245">
        <v>0.346616406390235</v>
      </c>
      <c r="D245" s="18">
        <v>0.173519161419149</v>
      </c>
      <c r="E245" s="18">
        <v>2025</v>
      </c>
    </row>
    <row r="246" spans="1:5">
      <c r="A246" s="34">
        <v>813</v>
      </c>
      <c r="B246">
        <v>364</v>
      </c>
      <c r="C246">
        <v>0.346616406390235</v>
      </c>
      <c r="D246" s="18">
        <v>-0.18735139198283399</v>
      </c>
      <c r="E246" s="18">
        <v>2025</v>
      </c>
    </row>
    <row r="247" spans="1:5">
      <c r="A247" s="34">
        <v>821</v>
      </c>
      <c r="B247">
        <v>845</v>
      </c>
      <c r="C247">
        <v>0.346616406390235</v>
      </c>
      <c r="D247" s="18">
        <v>-1.0620158027926201</v>
      </c>
      <c r="E247" s="18">
        <v>2025</v>
      </c>
    </row>
    <row r="248" spans="1:5">
      <c r="A248" s="34">
        <v>822</v>
      </c>
      <c r="B248">
        <v>99</v>
      </c>
      <c r="C248">
        <v>0.346616406390235</v>
      </c>
      <c r="D248" s="18">
        <v>0.89772209068113296</v>
      </c>
      <c r="E248" s="18">
        <v>2025</v>
      </c>
    </row>
    <row r="249" spans="1:5">
      <c r="A249" s="34">
        <v>823</v>
      </c>
      <c r="B249">
        <v>235</v>
      </c>
      <c r="C249">
        <v>0.346616406390235</v>
      </c>
      <c r="D249" s="18">
        <v>-0.50500667595381898</v>
      </c>
      <c r="E249" s="18">
        <v>2025</v>
      </c>
    </row>
    <row r="250" spans="1:5">
      <c r="A250" s="34">
        <v>829</v>
      </c>
      <c r="B250">
        <v>702</v>
      </c>
      <c r="C250">
        <v>0.346616406390235</v>
      </c>
      <c r="D250" s="18">
        <v>-0.87640291775846801</v>
      </c>
      <c r="E250" s="18">
        <v>2025</v>
      </c>
    </row>
    <row r="251" spans="1:5">
      <c r="A251" s="34">
        <v>841</v>
      </c>
      <c r="B251">
        <v>4431</v>
      </c>
      <c r="C251">
        <v>0.346616406390235</v>
      </c>
      <c r="D251" s="18">
        <v>-2.1895316187526599</v>
      </c>
      <c r="E251" s="18">
        <v>2025</v>
      </c>
    </row>
    <row r="252" spans="1:5">
      <c r="A252" s="34">
        <v>842</v>
      </c>
      <c r="B252">
        <v>70</v>
      </c>
      <c r="C252">
        <v>0.346616406390235</v>
      </c>
      <c r="D252" s="18">
        <v>-0.26057511941783701</v>
      </c>
      <c r="E252" s="18">
        <v>2025</v>
      </c>
    </row>
    <row r="253" spans="1:5">
      <c r="A253" s="34">
        <v>843</v>
      </c>
      <c r="B253">
        <v>661</v>
      </c>
      <c r="C253">
        <v>0.346616406390235</v>
      </c>
      <c r="D253" s="18">
        <v>-2.0768454707963002</v>
      </c>
      <c r="E253" s="18">
        <v>2025</v>
      </c>
    </row>
    <row r="254" spans="1:5">
      <c r="A254" s="34">
        <v>851</v>
      </c>
      <c r="B254">
        <v>269</v>
      </c>
      <c r="C254">
        <v>0.346616406390235</v>
      </c>
      <c r="D254" s="18">
        <v>-0.65171388095550298</v>
      </c>
      <c r="E254" s="18">
        <v>2025</v>
      </c>
    </row>
    <row r="255" spans="1:5">
      <c r="A255" s="34">
        <v>852</v>
      </c>
      <c r="B255">
        <v>194</v>
      </c>
      <c r="C255">
        <v>0.346616406390235</v>
      </c>
      <c r="D255" s="18">
        <v>-0.372784336496846</v>
      </c>
      <c r="E255" s="18">
        <v>2025</v>
      </c>
    </row>
    <row r="256" spans="1:5">
      <c r="A256" s="34">
        <v>853</v>
      </c>
      <c r="B256">
        <v>277</v>
      </c>
      <c r="C256">
        <v>0.346616406390235</v>
      </c>
      <c r="D256" s="18">
        <v>0.44409323321702998</v>
      </c>
      <c r="E256" s="18">
        <v>2025</v>
      </c>
    </row>
    <row r="257" spans="1:5">
      <c r="A257" s="34">
        <v>854</v>
      </c>
      <c r="B257">
        <v>298</v>
      </c>
      <c r="C257">
        <v>0.346616406390235</v>
      </c>
      <c r="D257" s="18">
        <v>5.9595096482644501E-2</v>
      </c>
      <c r="E257" s="18">
        <v>2025</v>
      </c>
    </row>
    <row r="258" spans="1:5">
      <c r="A258" s="34">
        <v>855</v>
      </c>
      <c r="B258">
        <v>179</v>
      </c>
      <c r="C258">
        <v>0.346616406390235</v>
      </c>
      <c r="D258" s="18">
        <v>-0.87975481766605901</v>
      </c>
      <c r="E258" s="18">
        <v>2025</v>
      </c>
    </row>
    <row r="259" spans="1:5">
      <c r="A259" s="34">
        <v>859</v>
      </c>
      <c r="B259">
        <v>628</v>
      </c>
      <c r="C259">
        <v>0.346616406390235</v>
      </c>
      <c r="D259" s="18">
        <v>-0.222074328120172</v>
      </c>
      <c r="E259" s="18">
        <v>2025</v>
      </c>
    </row>
    <row r="260" spans="1:5">
      <c r="A260" s="34">
        <v>861</v>
      </c>
      <c r="B260">
        <v>729</v>
      </c>
      <c r="C260">
        <v>0.346616406390235</v>
      </c>
      <c r="D260" s="18">
        <v>-0.60204502606995103</v>
      </c>
      <c r="E260" s="18">
        <v>2025</v>
      </c>
    </row>
    <row r="261" spans="1:5">
      <c r="A261" s="34">
        <v>862</v>
      </c>
      <c r="B261">
        <v>114</v>
      </c>
      <c r="C261">
        <v>0.346616406390235</v>
      </c>
      <c r="D261" s="18">
        <v>0.36544267055169399</v>
      </c>
      <c r="E261" s="18">
        <v>2025</v>
      </c>
    </row>
    <row r="262" spans="1:5">
      <c r="A262" s="34">
        <v>863</v>
      </c>
      <c r="B262">
        <v>634</v>
      </c>
      <c r="C262">
        <v>0.346616406390235</v>
      </c>
      <c r="D262" s="18">
        <v>-0.45157503017962802</v>
      </c>
      <c r="E262" s="18">
        <v>2025</v>
      </c>
    </row>
    <row r="263" spans="1:5">
      <c r="A263" s="34">
        <v>864</v>
      </c>
      <c r="B263">
        <v>770</v>
      </c>
      <c r="C263">
        <v>0.346616406390235</v>
      </c>
      <c r="D263" s="18">
        <v>-0.767078876583281</v>
      </c>
      <c r="E263" s="18">
        <v>2025</v>
      </c>
    </row>
    <row r="264" spans="1:5">
      <c r="A264" s="34">
        <v>865</v>
      </c>
      <c r="B264">
        <v>547</v>
      </c>
      <c r="C264">
        <v>0.346616406390235</v>
      </c>
      <c r="D264" s="18">
        <v>-0.328968829301856</v>
      </c>
      <c r="E264" s="18">
        <v>2025</v>
      </c>
    </row>
    <row r="265" spans="1:5">
      <c r="A265" s="34">
        <v>866</v>
      </c>
      <c r="B265">
        <v>303</v>
      </c>
      <c r="C265">
        <v>0.346616406390235</v>
      </c>
      <c r="D265" s="18">
        <v>-1.3747261999634599</v>
      </c>
      <c r="E265" s="18">
        <v>2025</v>
      </c>
    </row>
    <row r="266" spans="1:5">
      <c r="A266" s="34">
        <v>869</v>
      </c>
      <c r="B266">
        <v>238</v>
      </c>
      <c r="C266">
        <v>0.346616406390235</v>
      </c>
      <c r="D266" s="18">
        <v>-1.28241228238496</v>
      </c>
      <c r="E266" s="18">
        <v>2025</v>
      </c>
    </row>
    <row r="267" spans="1:5">
      <c r="A267" s="34">
        <v>871</v>
      </c>
      <c r="B267">
        <v>1006</v>
      </c>
      <c r="C267">
        <v>0.346616406390235</v>
      </c>
      <c r="D267" s="18">
        <v>-0.46773705418688999</v>
      </c>
      <c r="E267" s="18">
        <v>2025</v>
      </c>
    </row>
    <row r="268" spans="1:5">
      <c r="A268" s="34">
        <v>872</v>
      </c>
      <c r="B268">
        <v>353</v>
      </c>
      <c r="C268">
        <v>0.346616406390235</v>
      </c>
      <c r="D268" s="18">
        <v>0.210002666751641</v>
      </c>
      <c r="E268" s="18">
        <v>2025</v>
      </c>
    </row>
    <row r="269" spans="1:5">
      <c r="A269" s="34">
        <v>873</v>
      </c>
      <c r="B269">
        <v>394</v>
      </c>
      <c r="C269">
        <v>0.346616406390235</v>
      </c>
      <c r="D269" s="18">
        <v>1.5626524115142299E-3</v>
      </c>
      <c r="E269" s="18">
        <v>2025</v>
      </c>
    </row>
    <row r="270" spans="1:5">
      <c r="A270" s="34">
        <v>880</v>
      </c>
      <c r="B270">
        <v>526</v>
      </c>
      <c r="C270">
        <v>0.346616406390235</v>
      </c>
      <c r="D270" s="18">
        <v>-0.91205658326985295</v>
      </c>
      <c r="E270" s="18">
        <v>2025</v>
      </c>
    </row>
    <row r="271" spans="1:5">
      <c r="A271" s="34">
        <v>900</v>
      </c>
      <c r="B271">
        <v>341</v>
      </c>
      <c r="C271">
        <v>0.346616406390235</v>
      </c>
      <c r="D271" s="18">
        <v>-0.28792594211783601</v>
      </c>
      <c r="E271" s="18">
        <v>2025</v>
      </c>
    </row>
    <row r="272" spans="1:5">
      <c r="A272" s="34">
        <v>910</v>
      </c>
      <c r="B272">
        <v>121</v>
      </c>
      <c r="C272">
        <v>0.346616406390235</v>
      </c>
      <c r="D272" s="18">
        <v>-5.4466564689774101E-2</v>
      </c>
      <c r="E272" s="18">
        <v>2025</v>
      </c>
    </row>
    <row r="273" spans="1:5">
      <c r="A273" s="34">
        <v>920</v>
      </c>
      <c r="B273">
        <v>26</v>
      </c>
      <c r="C273">
        <v>0.346616406390235</v>
      </c>
      <c r="D273" s="18">
        <v>0.60920475132422702</v>
      </c>
      <c r="E273" s="18">
        <v>2025</v>
      </c>
    </row>
    <row r="274" spans="1:5">
      <c r="A274" s="34">
        <v>931</v>
      </c>
      <c r="B274">
        <v>565</v>
      </c>
      <c r="C274">
        <v>0.346616406390235</v>
      </c>
      <c r="D274" s="18">
        <v>-0.14682898781631901</v>
      </c>
      <c r="E274" s="18">
        <v>2025</v>
      </c>
    </row>
    <row r="275" spans="1:5">
      <c r="A275" s="34">
        <v>932</v>
      </c>
      <c r="B275">
        <v>465</v>
      </c>
      <c r="C275">
        <v>0.346616406390235</v>
      </c>
      <c r="D275" s="18">
        <v>-0.44731032344879601</v>
      </c>
      <c r="E275" s="18">
        <v>2025</v>
      </c>
    </row>
    <row r="276" spans="1:5">
      <c r="A276" s="34">
        <v>941</v>
      </c>
      <c r="B276">
        <v>253</v>
      </c>
      <c r="C276">
        <v>0.346616406390235</v>
      </c>
      <c r="D276" s="18">
        <v>-0.183897006404663</v>
      </c>
      <c r="E276" s="18">
        <v>2025</v>
      </c>
    </row>
    <row r="277" spans="1:5">
      <c r="A277" s="34">
        <v>942</v>
      </c>
      <c r="B277">
        <v>424</v>
      </c>
      <c r="C277">
        <v>0.346616406390235</v>
      </c>
      <c r="D277" s="18">
        <v>-1.38750417801242</v>
      </c>
      <c r="E277" s="18">
        <v>2025</v>
      </c>
    </row>
    <row r="278" spans="1:5">
      <c r="A278" s="34">
        <v>943</v>
      </c>
      <c r="B278">
        <v>1032</v>
      </c>
      <c r="C278">
        <v>0.346616406390235</v>
      </c>
      <c r="D278" s="18">
        <v>-1.0475801653300101</v>
      </c>
      <c r="E278" s="18">
        <v>2025</v>
      </c>
    </row>
    <row r="279" spans="1:5">
      <c r="A279" s="34">
        <v>949</v>
      </c>
      <c r="B279">
        <v>1479</v>
      </c>
      <c r="C279">
        <v>0.346616406390235</v>
      </c>
      <c r="D279" s="18">
        <v>-1.8445355843897799</v>
      </c>
      <c r="E279" s="18">
        <v>2025</v>
      </c>
    </row>
    <row r="280" spans="1:5">
      <c r="A280" s="34">
        <v>951</v>
      </c>
      <c r="B280">
        <v>617</v>
      </c>
      <c r="C280">
        <v>0.346616406390235</v>
      </c>
      <c r="D280" s="18">
        <v>-0.57966832216863695</v>
      </c>
      <c r="E280" s="18">
        <v>2025</v>
      </c>
    </row>
    <row r="281" spans="1:5">
      <c r="A281" s="34">
        <v>952</v>
      </c>
      <c r="B281">
        <v>504</v>
      </c>
      <c r="C281">
        <v>0.346616406390235</v>
      </c>
      <c r="D281" s="18">
        <v>2.8712015535252901E-2</v>
      </c>
      <c r="E281" s="18">
        <v>2025</v>
      </c>
    </row>
    <row r="282" spans="1:5">
      <c r="A282" s="34">
        <v>960</v>
      </c>
      <c r="B282">
        <v>851</v>
      </c>
      <c r="C282">
        <v>0.346616406390235</v>
      </c>
      <c r="D282" s="18">
        <v>-0.78659032861088396</v>
      </c>
      <c r="E282" s="18">
        <v>2025</v>
      </c>
    </row>
    <row r="283" spans="1:5">
      <c r="A283" s="34">
        <v>970</v>
      </c>
      <c r="B283">
        <v>212</v>
      </c>
      <c r="C283">
        <v>0.346616406390235</v>
      </c>
      <c r="D283" s="18">
        <v>0.58812389520847697</v>
      </c>
      <c r="E283" s="18">
        <v>2025</v>
      </c>
    </row>
    <row r="284" spans="1:5">
      <c r="A284" s="34">
        <v>990</v>
      </c>
      <c r="B284">
        <v>9</v>
      </c>
      <c r="C284">
        <v>0.346616406390235</v>
      </c>
      <c r="D284" s="18">
        <v>0.393683145238371</v>
      </c>
      <c r="E284" s="18">
        <v>2025</v>
      </c>
    </row>
    <row r="285" spans="1:5">
      <c r="A285" s="34">
        <v>999</v>
      </c>
      <c r="B285">
        <v>6</v>
      </c>
      <c r="C285">
        <v>0.346616406390235</v>
      </c>
      <c r="D285" s="18">
        <v>-0.51598440097783005</v>
      </c>
      <c r="E285" s="18">
        <v>2025</v>
      </c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2DFB-FBA6-4CA7-8F8D-28D373A04C83}">
  <dimension ref="A1:D84"/>
  <sheetViews>
    <sheetView zoomScaleNormal="100" workbookViewId="0">
      <pane ySplit="1" topLeftCell="A2" activePane="bottomLeft" state="frozen"/>
      <selection pane="bottomLeft" activeCell="B21" sqref="B21"/>
    </sheetView>
  </sheetViews>
  <sheetFormatPr defaultColWidth="8.5703125" defaultRowHeight="14.45"/>
  <cols>
    <col min="1" max="1" width="10" customWidth="1"/>
    <col min="2" max="2" width="65" customWidth="1"/>
    <col min="3" max="3" width="8" customWidth="1"/>
    <col min="4" max="4" width="70" customWidth="1"/>
  </cols>
  <sheetData>
    <row r="1" spans="1:4">
      <c r="A1" s="41" t="s">
        <v>39</v>
      </c>
      <c r="B1" s="41" t="s">
        <v>40</v>
      </c>
      <c r="C1" s="41" t="s">
        <v>995</v>
      </c>
      <c r="D1" s="41" t="s">
        <v>996</v>
      </c>
    </row>
    <row r="2" spans="1:4">
      <c r="A2" s="6" t="s">
        <v>47</v>
      </c>
      <c r="B2" s="6" t="s">
        <v>48</v>
      </c>
      <c r="C2" s="42">
        <v>0</v>
      </c>
      <c r="D2" s="43"/>
    </row>
    <row r="3" spans="1:4">
      <c r="A3" s="6" t="s">
        <v>49</v>
      </c>
      <c r="B3" s="6" t="s">
        <v>50</v>
      </c>
      <c r="C3" s="42">
        <v>1</v>
      </c>
      <c r="D3" s="43" t="s">
        <v>997</v>
      </c>
    </row>
    <row r="4" spans="1:4">
      <c r="A4" s="6" t="s">
        <v>51</v>
      </c>
      <c r="B4" s="6" t="s">
        <v>52</v>
      </c>
      <c r="C4" s="42">
        <v>1</v>
      </c>
      <c r="D4" s="43" t="s">
        <v>998</v>
      </c>
    </row>
    <row r="5" spans="1:4">
      <c r="A5" s="6" t="s">
        <v>53</v>
      </c>
      <c r="B5" s="6" t="s">
        <v>54</v>
      </c>
      <c r="C5" s="42">
        <v>0</v>
      </c>
      <c r="D5" s="43"/>
    </row>
    <row r="6" spans="1:4">
      <c r="A6" s="6" t="s">
        <v>55</v>
      </c>
      <c r="B6" s="6" t="s">
        <v>56</v>
      </c>
      <c r="C6" s="42">
        <v>0</v>
      </c>
      <c r="D6" s="43"/>
    </row>
    <row r="7" spans="1:4">
      <c r="A7" s="6" t="s">
        <v>57</v>
      </c>
      <c r="B7" s="6" t="s">
        <v>58</v>
      </c>
      <c r="C7" s="42">
        <v>0</v>
      </c>
      <c r="D7" s="43"/>
    </row>
    <row r="8" spans="1:4">
      <c r="A8" s="6" t="s">
        <v>59</v>
      </c>
      <c r="B8" s="6" t="s">
        <v>60</v>
      </c>
      <c r="C8" s="42">
        <v>0</v>
      </c>
      <c r="D8" s="43"/>
    </row>
    <row r="9" spans="1:4">
      <c r="A9" s="6" t="s">
        <v>61</v>
      </c>
      <c r="B9" s="6" t="s">
        <v>62</v>
      </c>
      <c r="C9" s="42">
        <v>0</v>
      </c>
      <c r="D9" s="43"/>
    </row>
    <row r="10" spans="1:4">
      <c r="A10" s="6" t="s">
        <v>63</v>
      </c>
      <c r="B10" s="6" t="s">
        <v>64</v>
      </c>
      <c r="C10" s="42">
        <v>0</v>
      </c>
      <c r="D10" s="43"/>
    </row>
    <row r="11" spans="1:4">
      <c r="A11" s="6" t="s">
        <v>65</v>
      </c>
      <c r="B11" s="6" t="s">
        <v>66</v>
      </c>
      <c r="C11" s="42">
        <v>0</v>
      </c>
      <c r="D11" s="43"/>
    </row>
    <row r="12" spans="1:4">
      <c r="A12" s="6" t="s">
        <v>67</v>
      </c>
      <c r="B12" s="6" t="s">
        <v>68</v>
      </c>
      <c r="C12" s="42">
        <v>0</v>
      </c>
      <c r="D12" s="43"/>
    </row>
    <row r="13" spans="1:4">
      <c r="A13" s="6" t="s">
        <v>69</v>
      </c>
      <c r="B13" s="6" t="s">
        <v>70</v>
      </c>
      <c r="C13" s="42">
        <v>0</v>
      </c>
      <c r="D13" s="43"/>
    </row>
    <row r="14" spans="1:4">
      <c r="A14" s="6" t="s">
        <v>71</v>
      </c>
      <c r="B14" s="6" t="s">
        <v>72</v>
      </c>
      <c r="C14" s="42">
        <v>0</v>
      </c>
      <c r="D14" s="43"/>
    </row>
    <row r="15" spans="1:4">
      <c r="A15" s="6" t="s">
        <v>73</v>
      </c>
      <c r="B15" s="6" t="s">
        <v>74</v>
      </c>
      <c r="C15" s="42">
        <v>0</v>
      </c>
      <c r="D15" s="43"/>
    </row>
    <row r="16" spans="1:4">
      <c r="A16" s="6" t="s">
        <v>75</v>
      </c>
      <c r="B16" s="6" t="s">
        <v>76</v>
      </c>
      <c r="C16" s="42">
        <v>0</v>
      </c>
      <c r="D16" s="43"/>
    </row>
    <row r="17" spans="1:4">
      <c r="A17" s="6" t="s">
        <v>77</v>
      </c>
      <c r="B17" s="6" t="s">
        <v>78</v>
      </c>
      <c r="C17" s="42">
        <v>0</v>
      </c>
      <c r="D17" s="43"/>
    </row>
    <row r="18" spans="1:4">
      <c r="A18" s="6" t="s">
        <v>79</v>
      </c>
      <c r="B18" s="6" t="s">
        <v>80</v>
      </c>
      <c r="C18" s="42">
        <v>0</v>
      </c>
      <c r="D18" s="43"/>
    </row>
    <row r="19" spans="1:4">
      <c r="A19" s="6" t="s">
        <v>81</v>
      </c>
      <c r="B19" s="6" t="s">
        <v>82</v>
      </c>
      <c r="C19" s="42">
        <v>0</v>
      </c>
      <c r="D19" s="43"/>
    </row>
    <row r="20" spans="1:4">
      <c r="A20" s="6" t="s">
        <v>83</v>
      </c>
      <c r="B20" s="6" t="s">
        <v>84</v>
      </c>
      <c r="C20" s="42">
        <v>0</v>
      </c>
      <c r="D20" s="43"/>
    </row>
    <row r="21" spans="1:4">
      <c r="A21" s="6" t="s">
        <v>85</v>
      </c>
      <c r="B21" s="6" t="s">
        <v>86</v>
      </c>
      <c r="C21" s="42">
        <v>0</v>
      </c>
      <c r="D21" s="43"/>
    </row>
    <row r="22" spans="1:4">
      <c r="A22" s="6" t="s">
        <v>87</v>
      </c>
      <c r="B22" s="6" t="s">
        <v>88</v>
      </c>
      <c r="C22" s="42">
        <v>0</v>
      </c>
      <c r="D22" s="43"/>
    </row>
    <row r="23" spans="1:4">
      <c r="A23" s="6" t="s">
        <v>89</v>
      </c>
      <c r="B23" s="6" t="s">
        <v>90</v>
      </c>
      <c r="C23" s="42">
        <v>1</v>
      </c>
      <c r="D23" s="43" t="s">
        <v>999</v>
      </c>
    </row>
    <row r="24" spans="1:4">
      <c r="A24" s="6" t="s">
        <v>91</v>
      </c>
      <c r="B24" s="6" t="s">
        <v>92</v>
      </c>
      <c r="C24" s="42">
        <v>1</v>
      </c>
      <c r="D24" s="43" t="s">
        <v>1000</v>
      </c>
    </row>
    <row r="25" spans="1:4">
      <c r="A25" s="6" t="s">
        <v>93</v>
      </c>
      <c r="B25" s="6" t="s">
        <v>94</v>
      </c>
      <c r="C25" s="42">
        <v>1</v>
      </c>
      <c r="D25" s="43" t="s">
        <v>1001</v>
      </c>
    </row>
    <row r="26" spans="1:4">
      <c r="A26" s="6" t="s">
        <v>95</v>
      </c>
      <c r="B26" s="6" t="s">
        <v>96</v>
      </c>
      <c r="C26" s="42">
        <v>0</v>
      </c>
      <c r="D26" s="43"/>
    </row>
    <row r="27" spans="1:4">
      <c r="A27" s="6" t="s">
        <v>97</v>
      </c>
      <c r="B27" s="6" t="s">
        <v>98</v>
      </c>
      <c r="C27" s="42">
        <v>0</v>
      </c>
      <c r="D27" s="43"/>
    </row>
    <row r="28" spans="1:4">
      <c r="A28" s="6" t="s">
        <v>99</v>
      </c>
      <c r="B28" s="6" t="s">
        <v>100</v>
      </c>
      <c r="C28" s="42">
        <v>0</v>
      </c>
      <c r="D28" s="43"/>
    </row>
    <row r="29" spans="1:4">
      <c r="A29" s="6" t="s">
        <v>101</v>
      </c>
      <c r="B29" s="6" t="s">
        <v>102</v>
      </c>
      <c r="C29" s="42">
        <v>1</v>
      </c>
      <c r="D29" s="43" t="s">
        <v>1002</v>
      </c>
    </row>
    <row r="30" spans="1:4">
      <c r="A30" s="6" t="s">
        <v>103</v>
      </c>
      <c r="B30" s="6" t="s">
        <v>104</v>
      </c>
      <c r="C30" s="42">
        <v>0</v>
      </c>
      <c r="D30" s="43"/>
    </row>
    <row r="31" spans="1:4">
      <c r="A31" s="6" t="s">
        <v>105</v>
      </c>
      <c r="B31" s="6" t="s">
        <v>106</v>
      </c>
      <c r="C31" s="42">
        <v>0</v>
      </c>
      <c r="D31" s="43"/>
    </row>
    <row r="32" spans="1:4">
      <c r="A32" s="6" t="s">
        <v>107</v>
      </c>
      <c r="B32" s="6" t="s">
        <v>108</v>
      </c>
      <c r="C32" s="42">
        <v>0</v>
      </c>
      <c r="D32" s="43"/>
    </row>
    <row r="33" spans="1:4">
      <c r="A33" s="6" t="s">
        <v>109</v>
      </c>
      <c r="B33" s="6" t="s">
        <v>110</v>
      </c>
      <c r="C33" s="42">
        <v>1</v>
      </c>
      <c r="D33" s="43" t="s">
        <v>1003</v>
      </c>
    </row>
    <row r="34" spans="1:4">
      <c r="A34" s="6" t="s">
        <v>111</v>
      </c>
      <c r="B34" s="6" t="s">
        <v>112</v>
      </c>
      <c r="C34" s="42">
        <v>0</v>
      </c>
      <c r="D34" s="43"/>
    </row>
    <row r="35" spans="1:4">
      <c r="A35" s="6" t="s">
        <v>113</v>
      </c>
      <c r="B35" s="6" t="s">
        <v>114</v>
      </c>
      <c r="C35" s="42">
        <v>0</v>
      </c>
      <c r="D35" s="43"/>
    </row>
    <row r="36" spans="1:4">
      <c r="A36" s="6" t="s">
        <v>115</v>
      </c>
      <c r="B36" s="6" t="s">
        <v>116</v>
      </c>
      <c r="C36" s="42">
        <v>0</v>
      </c>
      <c r="D36" s="43"/>
    </row>
    <row r="37" spans="1:4">
      <c r="A37" s="6" t="s">
        <v>117</v>
      </c>
      <c r="B37" s="6" t="s">
        <v>118</v>
      </c>
      <c r="C37" s="42">
        <v>0</v>
      </c>
      <c r="D37" s="43"/>
    </row>
    <row r="38" spans="1:4">
      <c r="A38" s="6" t="s">
        <v>119</v>
      </c>
      <c r="B38" s="6" t="s">
        <v>120</v>
      </c>
      <c r="C38" s="42">
        <v>1</v>
      </c>
      <c r="D38" s="43" t="s">
        <v>1004</v>
      </c>
    </row>
    <row r="39" spans="1:4">
      <c r="A39" s="6" t="s">
        <v>121</v>
      </c>
      <c r="B39" s="6" t="s">
        <v>122</v>
      </c>
      <c r="C39" s="42">
        <v>1</v>
      </c>
      <c r="D39" s="43" t="s">
        <v>1005</v>
      </c>
    </row>
    <row r="40" spans="1:4">
      <c r="A40" s="6" t="s">
        <v>123</v>
      </c>
      <c r="B40" s="6" t="s">
        <v>124</v>
      </c>
      <c r="C40" s="42">
        <v>0</v>
      </c>
      <c r="D40" s="43"/>
    </row>
    <row r="41" spans="1:4">
      <c r="A41" s="6" t="s">
        <v>125</v>
      </c>
      <c r="B41" s="6" t="s">
        <v>126</v>
      </c>
      <c r="C41" s="42">
        <v>0</v>
      </c>
      <c r="D41" s="43"/>
    </row>
    <row r="42" spans="1:4">
      <c r="A42" s="6" t="s">
        <v>127</v>
      </c>
      <c r="B42" s="6" t="s">
        <v>128</v>
      </c>
      <c r="C42" s="42">
        <v>0</v>
      </c>
      <c r="D42" s="43"/>
    </row>
    <row r="43" spans="1:4">
      <c r="A43" s="6" t="s">
        <v>129</v>
      </c>
      <c r="B43" s="6" t="s">
        <v>130</v>
      </c>
      <c r="C43" s="42">
        <v>1</v>
      </c>
      <c r="D43" s="43" t="s">
        <v>1006</v>
      </c>
    </row>
    <row r="44" spans="1:4">
      <c r="A44" s="6" t="s">
        <v>131</v>
      </c>
      <c r="B44" s="6" t="s">
        <v>132</v>
      </c>
      <c r="C44" s="42">
        <v>1</v>
      </c>
      <c r="D44" s="43" t="s">
        <v>1007</v>
      </c>
    </row>
    <row r="45" spans="1:4">
      <c r="A45" s="6" t="s">
        <v>133</v>
      </c>
      <c r="B45" s="6" t="s">
        <v>134</v>
      </c>
      <c r="C45" s="42">
        <v>0</v>
      </c>
      <c r="D45" s="43"/>
    </row>
    <row r="46" spans="1:4">
      <c r="A46" s="6" t="s">
        <v>135</v>
      </c>
      <c r="B46" s="6" t="s">
        <v>136</v>
      </c>
      <c r="C46" s="42">
        <v>0</v>
      </c>
      <c r="D46" s="43"/>
    </row>
    <row r="47" spans="1:4">
      <c r="A47" s="6" t="s">
        <v>137</v>
      </c>
      <c r="B47" s="6" t="s">
        <v>138</v>
      </c>
      <c r="C47" s="42">
        <v>0</v>
      </c>
      <c r="D47" s="43"/>
    </row>
    <row r="48" spans="1:4">
      <c r="A48" s="6" t="s">
        <v>139</v>
      </c>
      <c r="B48" s="6" t="s">
        <v>140</v>
      </c>
      <c r="C48" s="42">
        <v>0</v>
      </c>
      <c r="D48" s="43"/>
    </row>
    <row r="49" spans="1:4">
      <c r="A49" s="6" t="s">
        <v>141</v>
      </c>
      <c r="B49" s="6" t="s">
        <v>142</v>
      </c>
      <c r="C49" s="42">
        <v>0</v>
      </c>
      <c r="D49" s="43"/>
    </row>
    <row r="50" spans="1:4">
      <c r="A50" s="6" t="s">
        <v>143</v>
      </c>
      <c r="B50" s="6" t="s">
        <v>144</v>
      </c>
      <c r="C50" s="42">
        <v>0</v>
      </c>
      <c r="D50" s="43"/>
    </row>
    <row r="51" spans="1:4">
      <c r="A51" s="6" t="s">
        <v>145</v>
      </c>
      <c r="B51" s="6" t="s">
        <v>146</v>
      </c>
      <c r="C51" s="42">
        <v>0</v>
      </c>
      <c r="D51" s="43"/>
    </row>
    <row r="52" spans="1:4">
      <c r="A52" s="6" t="s">
        <v>147</v>
      </c>
      <c r="B52" s="6" t="s">
        <v>148</v>
      </c>
      <c r="C52" s="42">
        <v>0</v>
      </c>
      <c r="D52" s="43"/>
    </row>
    <row r="53" spans="1:4">
      <c r="A53" s="6" t="s">
        <v>149</v>
      </c>
      <c r="B53" s="6" t="s">
        <v>150</v>
      </c>
      <c r="C53" s="42">
        <v>0</v>
      </c>
      <c r="D53" s="43"/>
    </row>
    <row r="54" spans="1:4">
      <c r="A54" s="6" t="s">
        <v>151</v>
      </c>
      <c r="B54" s="6" t="s">
        <v>152</v>
      </c>
      <c r="C54" s="42">
        <v>0</v>
      </c>
      <c r="D54" s="43"/>
    </row>
    <row r="55" spans="1:4">
      <c r="A55" s="6" t="s">
        <v>153</v>
      </c>
      <c r="B55" s="6" t="s">
        <v>154</v>
      </c>
      <c r="C55" s="42">
        <v>0</v>
      </c>
      <c r="D55" s="43"/>
    </row>
    <row r="56" spans="1:4">
      <c r="A56" s="6" t="s">
        <v>155</v>
      </c>
      <c r="B56" s="6" t="s">
        <v>156</v>
      </c>
      <c r="C56" s="42">
        <v>0</v>
      </c>
      <c r="D56" s="43"/>
    </row>
    <row r="57" spans="1:4">
      <c r="A57" s="6" t="s">
        <v>157</v>
      </c>
      <c r="B57" s="6" t="s">
        <v>158</v>
      </c>
      <c r="C57" s="42">
        <v>0</v>
      </c>
      <c r="D57" s="43"/>
    </row>
    <row r="58" spans="1:4">
      <c r="A58" s="6" t="s">
        <v>159</v>
      </c>
      <c r="B58" s="6" t="s">
        <v>160</v>
      </c>
      <c r="C58" s="42">
        <v>0</v>
      </c>
      <c r="D58" s="43"/>
    </row>
    <row r="59" spans="1:4">
      <c r="A59" s="6" t="s">
        <v>161</v>
      </c>
      <c r="B59" s="6" t="s">
        <v>162</v>
      </c>
      <c r="C59" s="42">
        <v>0</v>
      </c>
      <c r="D59" s="43"/>
    </row>
    <row r="60" spans="1:4">
      <c r="A60" s="6" t="s">
        <v>163</v>
      </c>
      <c r="B60" s="6" t="s">
        <v>164</v>
      </c>
      <c r="C60" s="42">
        <v>0</v>
      </c>
      <c r="D60" s="43"/>
    </row>
    <row r="61" spans="1:4">
      <c r="A61" s="6" t="s">
        <v>165</v>
      </c>
      <c r="B61" s="6" t="s">
        <v>166</v>
      </c>
      <c r="C61" s="42">
        <v>0</v>
      </c>
      <c r="D61" s="43"/>
    </row>
    <row r="62" spans="1:4">
      <c r="A62" s="6" t="s">
        <v>167</v>
      </c>
      <c r="B62" s="6" t="s">
        <v>168</v>
      </c>
      <c r="C62" s="42">
        <v>0</v>
      </c>
      <c r="D62" s="43"/>
    </row>
    <row r="63" spans="1:4">
      <c r="A63" s="6" t="s">
        <v>169</v>
      </c>
      <c r="B63" s="6" t="s">
        <v>170</v>
      </c>
      <c r="C63" s="42">
        <v>0</v>
      </c>
      <c r="D63" s="43"/>
    </row>
    <row r="64" spans="1:4">
      <c r="A64" s="6" t="s">
        <v>171</v>
      </c>
      <c r="B64" s="6" t="s">
        <v>172</v>
      </c>
      <c r="C64" s="42">
        <v>0</v>
      </c>
      <c r="D64" s="43"/>
    </row>
    <row r="65" spans="1:4">
      <c r="A65" s="6" t="s">
        <v>173</v>
      </c>
      <c r="B65" s="6" t="s">
        <v>174</v>
      </c>
      <c r="C65" s="42">
        <v>0</v>
      </c>
      <c r="D65" s="43"/>
    </row>
    <row r="66" spans="1:4">
      <c r="A66" s="6" t="s">
        <v>175</v>
      </c>
      <c r="B66" s="6" t="s">
        <v>176</v>
      </c>
      <c r="C66" s="42">
        <v>0</v>
      </c>
      <c r="D66" s="43"/>
    </row>
    <row r="67" spans="1:4">
      <c r="A67" s="6" t="s">
        <v>177</v>
      </c>
      <c r="B67" s="6" t="s">
        <v>178</v>
      </c>
      <c r="C67" s="42">
        <v>0</v>
      </c>
      <c r="D67" s="43"/>
    </row>
    <row r="68" spans="1:4">
      <c r="A68" s="6" t="s">
        <v>179</v>
      </c>
      <c r="B68" s="6" t="s">
        <v>180</v>
      </c>
      <c r="C68" s="42">
        <v>0</v>
      </c>
      <c r="D68" s="43"/>
    </row>
    <row r="69" spans="1:4">
      <c r="A69" s="6" t="s">
        <v>181</v>
      </c>
      <c r="B69" s="6" t="s">
        <v>182</v>
      </c>
      <c r="C69" s="42">
        <v>0</v>
      </c>
      <c r="D69" s="43"/>
    </row>
    <row r="70" spans="1:4">
      <c r="A70" s="6" t="s">
        <v>183</v>
      </c>
      <c r="B70" s="6" t="s">
        <v>184</v>
      </c>
      <c r="C70" s="42">
        <v>0</v>
      </c>
      <c r="D70" s="43"/>
    </row>
    <row r="71" spans="1:4">
      <c r="A71" s="6" t="s">
        <v>185</v>
      </c>
      <c r="B71" s="6" t="s">
        <v>186</v>
      </c>
      <c r="C71" s="42">
        <v>0</v>
      </c>
      <c r="D71" s="43"/>
    </row>
    <row r="72" spans="1:4">
      <c r="A72" s="6" t="s">
        <v>187</v>
      </c>
      <c r="B72" s="6" t="s">
        <v>188</v>
      </c>
      <c r="C72" s="42">
        <v>0</v>
      </c>
      <c r="D72" s="43"/>
    </row>
    <row r="73" spans="1:4">
      <c r="A73" s="6" t="s">
        <v>189</v>
      </c>
      <c r="B73" s="6" t="s">
        <v>190</v>
      </c>
      <c r="C73" s="42">
        <v>0</v>
      </c>
      <c r="D73" s="43"/>
    </row>
    <row r="74" spans="1:4">
      <c r="A74" s="6" t="s">
        <v>191</v>
      </c>
      <c r="B74" s="6" t="s">
        <v>192</v>
      </c>
      <c r="C74" s="42">
        <v>0</v>
      </c>
      <c r="D74" s="43"/>
    </row>
    <row r="75" spans="1:4">
      <c r="A75" s="6" t="s">
        <v>193</v>
      </c>
      <c r="B75" s="6" t="s">
        <v>194</v>
      </c>
      <c r="C75" s="42">
        <v>0</v>
      </c>
      <c r="D75" s="43"/>
    </row>
    <row r="76" spans="1:4">
      <c r="A76" s="6" t="s">
        <v>195</v>
      </c>
      <c r="B76" s="6" t="s">
        <v>196</v>
      </c>
      <c r="C76" s="42">
        <v>0</v>
      </c>
      <c r="D76" s="43"/>
    </row>
    <row r="77" spans="1:4">
      <c r="A77" s="6" t="s">
        <v>197</v>
      </c>
      <c r="B77" s="6" t="s">
        <v>198</v>
      </c>
      <c r="C77" s="42">
        <v>0</v>
      </c>
      <c r="D77" s="43"/>
    </row>
    <row r="78" spans="1:4">
      <c r="A78" s="6" t="s">
        <v>199</v>
      </c>
      <c r="B78" s="6" t="s">
        <v>200</v>
      </c>
      <c r="C78" s="42">
        <v>0</v>
      </c>
      <c r="D78" s="43"/>
    </row>
    <row r="79" spans="1:4">
      <c r="A79" s="6" t="s">
        <v>201</v>
      </c>
      <c r="B79" s="6" t="s">
        <v>202</v>
      </c>
      <c r="C79" s="42">
        <v>0</v>
      </c>
      <c r="D79" s="43"/>
    </row>
    <row r="80" spans="1:4">
      <c r="A80" s="6" t="s">
        <v>203</v>
      </c>
      <c r="B80" s="6" t="s">
        <v>204</v>
      </c>
      <c r="C80" s="42">
        <v>0</v>
      </c>
      <c r="D80" s="43"/>
    </row>
    <row r="81" spans="1:4">
      <c r="A81" s="6" t="s">
        <v>205</v>
      </c>
      <c r="B81" s="6" t="s">
        <v>206</v>
      </c>
      <c r="C81" s="42">
        <v>0</v>
      </c>
      <c r="D81" s="43"/>
    </row>
    <row r="82" spans="1:4">
      <c r="A82" s="6" t="s">
        <v>207</v>
      </c>
      <c r="B82" s="6" t="s">
        <v>208</v>
      </c>
      <c r="C82" s="42">
        <v>0</v>
      </c>
      <c r="D82" s="43"/>
    </row>
    <row r="83" spans="1:4">
      <c r="A83" s="6" t="s">
        <v>209</v>
      </c>
      <c r="B83" s="6" t="s">
        <v>210</v>
      </c>
      <c r="C83" s="42">
        <v>0</v>
      </c>
      <c r="D83" s="43"/>
    </row>
    <row r="84" spans="1:4">
      <c r="A84" s="6" t="s">
        <v>211</v>
      </c>
      <c r="B84" s="6" t="s">
        <v>212</v>
      </c>
      <c r="C84" s="42">
        <v>0</v>
      </c>
      <c r="D84" s="4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7A46-5102-4873-9091-2EF8FFD61328}">
  <dimension ref="A1:D84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4.45"/>
  <cols>
    <col min="1" max="1" width="10" customWidth="1"/>
    <col min="2" max="2" width="65" customWidth="1"/>
    <col min="3" max="3" width="8" customWidth="1"/>
    <col min="4" max="4" width="75" customWidth="1"/>
  </cols>
  <sheetData>
    <row r="1" spans="1:4">
      <c r="A1" s="41" t="s">
        <v>39</v>
      </c>
      <c r="B1" s="41" t="s">
        <v>40</v>
      </c>
      <c r="C1" s="41" t="s">
        <v>1008</v>
      </c>
      <c r="D1" s="41" t="s">
        <v>1009</v>
      </c>
    </row>
    <row r="2" spans="1:4">
      <c r="A2" s="6" t="s">
        <v>47</v>
      </c>
      <c r="B2" s="6" t="s">
        <v>48</v>
      </c>
      <c r="C2" s="42">
        <v>0</v>
      </c>
      <c r="D2" s="43"/>
    </row>
    <row r="3" spans="1:4">
      <c r="A3" s="6" t="s">
        <v>49</v>
      </c>
      <c r="B3" s="6" t="s">
        <v>50</v>
      </c>
      <c r="C3" s="42">
        <v>0</v>
      </c>
      <c r="D3" s="43"/>
    </row>
    <row r="4" spans="1:4">
      <c r="A4" s="6" t="s">
        <v>51</v>
      </c>
      <c r="B4" s="6" t="s">
        <v>52</v>
      </c>
      <c r="C4" s="42">
        <v>0</v>
      </c>
      <c r="D4" s="43"/>
    </row>
    <row r="5" spans="1:4">
      <c r="A5" s="6" t="s">
        <v>53</v>
      </c>
      <c r="B5" s="6" t="s">
        <v>54</v>
      </c>
      <c r="C5" s="42">
        <v>0</v>
      </c>
      <c r="D5" s="43"/>
    </row>
    <row r="6" spans="1:4">
      <c r="A6" s="6" t="s">
        <v>55</v>
      </c>
      <c r="B6" s="6" t="s">
        <v>56</v>
      </c>
      <c r="C6" s="42">
        <v>0</v>
      </c>
      <c r="D6" s="43"/>
    </row>
    <row r="7" spans="1:4">
      <c r="A7" s="6" t="s">
        <v>57</v>
      </c>
      <c r="B7" s="6" t="s">
        <v>58</v>
      </c>
      <c r="C7" s="42">
        <v>0</v>
      </c>
      <c r="D7" s="43"/>
    </row>
    <row r="8" spans="1:4">
      <c r="A8" s="6" t="s">
        <v>59</v>
      </c>
      <c r="B8" s="6" t="s">
        <v>60</v>
      </c>
      <c r="C8" s="42">
        <v>0</v>
      </c>
      <c r="D8" s="43"/>
    </row>
    <row r="9" spans="1:4">
      <c r="A9" s="6" t="s">
        <v>61</v>
      </c>
      <c r="B9" s="6" t="s">
        <v>62</v>
      </c>
      <c r="C9" s="42">
        <v>0</v>
      </c>
      <c r="D9" s="43"/>
    </row>
    <row r="10" spans="1:4">
      <c r="A10" s="6" t="s">
        <v>63</v>
      </c>
      <c r="B10" s="6" t="s">
        <v>64</v>
      </c>
      <c r="C10" s="42">
        <v>0</v>
      </c>
      <c r="D10" s="43"/>
    </row>
    <row r="11" spans="1:4">
      <c r="A11" s="6" t="s">
        <v>65</v>
      </c>
      <c r="B11" s="6" t="s">
        <v>66</v>
      </c>
      <c r="C11" s="42">
        <v>0</v>
      </c>
      <c r="D11" s="43"/>
    </row>
    <row r="12" spans="1:4">
      <c r="A12" s="6" t="s">
        <v>67</v>
      </c>
      <c r="B12" s="6" t="s">
        <v>68</v>
      </c>
      <c r="C12" s="42">
        <v>0</v>
      </c>
      <c r="D12" s="43"/>
    </row>
    <row r="13" spans="1:4">
      <c r="A13" s="6" t="s">
        <v>69</v>
      </c>
      <c r="B13" s="6" t="s">
        <v>70</v>
      </c>
      <c r="C13" s="42">
        <v>0</v>
      </c>
      <c r="D13" s="43"/>
    </row>
    <row r="14" spans="1:4">
      <c r="A14" s="6" t="s">
        <v>71</v>
      </c>
      <c r="B14" s="6" t="s">
        <v>72</v>
      </c>
      <c r="C14" s="42">
        <v>1</v>
      </c>
      <c r="D14" s="43" t="s">
        <v>1010</v>
      </c>
    </row>
    <row r="15" spans="1:4">
      <c r="A15" s="6" t="s">
        <v>73</v>
      </c>
      <c r="B15" s="6" t="s">
        <v>74</v>
      </c>
      <c r="C15" s="42">
        <v>1</v>
      </c>
      <c r="D15" s="43" t="s">
        <v>1010</v>
      </c>
    </row>
    <row r="16" spans="1:4">
      <c r="A16" s="6" t="s">
        <v>75</v>
      </c>
      <c r="B16" s="6" t="s">
        <v>76</v>
      </c>
      <c r="C16" s="42">
        <v>1</v>
      </c>
      <c r="D16" s="43" t="s">
        <v>1010</v>
      </c>
    </row>
    <row r="17" spans="1:4">
      <c r="A17" s="6" t="s">
        <v>77</v>
      </c>
      <c r="B17" s="6" t="s">
        <v>78</v>
      </c>
      <c r="C17" s="42">
        <v>1</v>
      </c>
      <c r="D17" s="43" t="s">
        <v>1011</v>
      </c>
    </row>
    <row r="18" spans="1:4">
      <c r="A18" s="6" t="s">
        <v>79</v>
      </c>
      <c r="B18" s="6" t="s">
        <v>80</v>
      </c>
      <c r="C18" s="42">
        <v>1</v>
      </c>
      <c r="D18" s="43" t="s">
        <v>1011</v>
      </c>
    </row>
    <row r="19" spans="1:4">
      <c r="A19" s="6" t="s">
        <v>81</v>
      </c>
      <c r="B19" s="6" t="s">
        <v>82</v>
      </c>
      <c r="C19" s="42">
        <v>0</v>
      </c>
      <c r="D19" s="43"/>
    </row>
    <row r="20" spans="1:4">
      <c r="A20" s="6" t="s">
        <v>83</v>
      </c>
      <c r="B20" s="6" t="s">
        <v>84</v>
      </c>
      <c r="C20" s="42">
        <v>0</v>
      </c>
      <c r="D20" s="43"/>
    </row>
    <row r="21" spans="1:4">
      <c r="A21" s="6" t="s">
        <v>85</v>
      </c>
      <c r="B21" s="6" t="s">
        <v>86</v>
      </c>
      <c r="C21" s="42">
        <v>0</v>
      </c>
      <c r="D21" s="43"/>
    </row>
    <row r="22" spans="1:4">
      <c r="A22" s="6" t="s">
        <v>87</v>
      </c>
      <c r="B22" s="6" t="s">
        <v>88</v>
      </c>
      <c r="C22" s="42">
        <v>0</v>
      </c>
      <c r="D22" s="43"/>
    </row>
    <row r="23" spans="1:4">
      <c r="A23" s="6" t="s">
        <v>89</v>
      </c>
      <c r="B23" s="6" t="s">
        <v>90</v>
      </c>
      <c r="C23" s="42">
        <v>0</v>
      </c>
      <c r="D23" s="43"/>
    </row>
    <row r="24" spans="1:4">
      <c r="A24" s="6" t="s">
        <v>91</v>
      </c>
      <c r="B24" s="6" t="s">
        <v>92</v>
      </c>
      <c r="C24" s="42">
        <v>0</v>
      </c>
      <c r="D24" s="43"/>
    </row>
    <row r="25" spans="1:4">
      <c r="A25" s="6" t="s">
        <v>93</v>
      </c>
      <c r="B25" s="6" t="s">
        <v>94</v>
      </c>
      <c r="C25" s="42">
        <v>0</v>
      </c>
      <c r="D25" s="43"/>
    </row>
    <row r="26" spans="1:4">
      <c r="A26" s="6" t="s">
        <v>95</v>
      </c>
      <c r="B26" s="6" t="s">
        <v>96</v>
      </c>
      <c r="C26" s="42">
        <v>0</v>
      </c>
      <c r="D26" s="43"/>
    </row>
    <row r="27" spans="1:4">
      <c r="A27" s="6" t="s">
        <v>97</v>
      </c>
      <c r="B27" s="6" t="s">
        <v>98</v>
      </c>
      <c r="C27" s="42">
        <v>0</v>
      </c>
      <c r="D27" s="43"/>
    </row>
    <row r="28" spans="1:4">
      <c r="A28" s="6" t="s">
        <v>99</v>
      </c>
      <c r="B28" s="6" t="s">
        <v>100</v>
      </c>
      <c r="C28" s="42">
        <v>0</v>
      </c>
      <c r="D28" s="43"/>
    </row>
    <row r="29" spans="1:4">
      <c r="A29" s="6" t="s">
        <v>101</v>
      </c>
      <c r="B29" s="6" t="s">
        <v>102</v>
      </c>
      <c r="C29" s="42">
        <v>1</v>
      </c>
      <c r="D29" s="43" t="s">
        <v>1012</v>
      </c>
    </row>
    <row r="30" spans="1:4">
      <c r="A30" s="6" t="s">
        <v>103</v>
      </c>
      <c r="B30" s="6" t="s">
        <v>104</v>
      </c>
      <c r="C30" s="42">
        <v>0</v>
      </c>
      <c r="D30" s="43"/>
    </row>
    <row r="31" spans="1:4">
      <c r="A31" s="6" t="s">
        <v>105</v>
      </c>
      <c r="B31" s="6" t="s">
        <v>106</v>
      </c>
      <c r="C31" s="42">
        <v>0</v>
      </c>
      <c r="D31" s="43"/>
    </row>
    <row r="32" spans="1:4">
      <c r="A32" s="6" t="s">
        <v>107</v>
      </c>
      <c r="B32" s="6" t="s">
        <v>108</v>
      </c>
      <c r="C32" s="42">
        <v>0</v>
      </c>
      <c r="D32" s="43"/>
    </row>
    <row r="33" spans="1:4">
      <c r="A33" s="6" t="s">
        <v>109</v>
      </c>
      <c r="B33" s="6" t="s">
        <v>110</v>
      </c>
      <c r="C33" s="42">
        <v>0</v>
      </c>
      <c r="D33" s="43"/>
    </row>
    <row r="34" spans="1:4">
      <c r="A34" s="6" t="s">
        <v>111</v>
      </c>
      <c r="B34" s="6" t="s">
        <v>112</v>
      </c>
      <c r="C34" s="42">
        <v>1</v>
      </c>
      <c r="D34" s="43" t="s">
        <v>1013</v>
      </c>
    </row>
    <row r="35" spans="1:4">
      <c r="A35" s="6" t="s">
        <v>113</v>
      </c>
      <c r="B35" s="6" t="s">
        <v>114</v>
      </c>
      <c r="C35" s="42">
        <v>1</v>
      </c>
      <c r="D35" s="43" t="s">
        <v>1013</v>
      </c>
    </row>
    <row r="36" spans="1:4">
      <c r="A36" s="6" t="s">
        <v>115</v>
      </c>
      <c r="B36" s="6" t="s">
        <v>116</v>
      </c>
      <c r="C36" s="42">
        <v>0</v>
      </c>
      <c r="D36" s="43"/>
    </row>
    <row r="37" spans="1:4">
      <c r="A37" s="6" t="s">
        <v>117</v>
      </c>
      <c r="B37" s="6" t="s">
        <v>118</v>
      </c>
      <c r="C37" s="42">
        <v>0</v>
      </c>
      <c r="D37" s="43"/>
    </row>
    <row r="38" spans="1:4">
      <c r="A38" s="6" t="s">
        <v>119</v>
      </c>
      <c r="B38" s="6" t="s">
        <v>120</v>
      </c>
      <c r="C38" s="42">
        <v>0</v>
      </c>
      <c r="D38" s="43"/>
    </row>
    <row r="39" spans="1:4">
      <c r="A39" s="6" t="s">
        <v>121</v>
      </c>
      <c r="B39" s="6" t="s">
        <v>122</v>
      </c>
      <c r="C39" s="42">
        <v>1</v>
      </c>
      <c r="D39" s="43" t="s">
        <v>1014</v>
      </c>
    </row>
    <row r="40" spans="1:4">
      <c r="A40" s="6" t="s">
        <v>123</v>
      </c>
      <c r="B40" s="6" t="s">
        <v>124</v>
      </c>
      <c r="C40" s="42">
        <v>0</v>
      </c>
      <c r="D40" s="43"/>
    </row>
    <row r="41" spans="1:4">
      <c r="A41" s="6" t="s">
        <v>125</v>
      </c>
      <c r="B41" s="6" t="s">
        <v>126</v>
      </c>
      <c r="C41" s="42">
        <v>0</v>
      </c>
      <c r="D41" s="43"/>
    </row>
    <row r="42" spans="1:4">
      <c r="A42" s="6" t="s">
        <v>127</v>
      </c>
      <c r="B42" s="6" t="s">
        <v>128</v>
      </c>
      <c r="C42" s="42">
        <v>0</v>
      </c>
      <c r="D42" s="43"/>
    </row>
    <row r="43" spans="1:4">
      <c r="A43" s="6" t="s">
        <v>129</v>
      </c>
      <c r="B43" s="6" t="s">
        <v>130</v>
      </c>
      <c r="C43" s="42">
        <v>1</v>
      </c>
      <c r="D43" s="43" t="s">
        <v>1014</v>
      </c>
    </row>
    <row r="44" spans="1:4">
      <c r="A44" s="6" t="s">
        <v>131</v>
      </c>
      <c r="B44" s="6" t="s">
        <v>132</v>
      </c>
      <c r="C44" s="42">
        <v>0</v>
      </c>
      <c r="D44" s="43"/>
    </row>
    <row r="45" spans="1:4">
      <c r="A45" s="6" t="s">
        <v>133</v>
      </c>
      <c r="B45" s="6" t="s">
        <v>134</v>
      </c>
      <c r="C45" s="42">
        <v>0</v>
      </c>
      <c r="D45" s="43"/>
    </row>
    <row r="46" spans="1:4">
      <c r="A46" s="6" t="s">
        <v>135</v>
      </c>
      <c r="B46" s="6" t="s">
        <v>136</v>
      </c>
      <c r="C46" s="42">
        <v>0</v>
      </c>
      <c r="D46" s="43"/>
    </row>
    <row r="47" spans="1:4">
      <c r="A47" s="6" t="s">
        <v>137</v>
      </c>
      <c r="B47" s="6" t="s">
        <v>138</v>
      </c>
      <c r="C47" s="42">
        <v>0</v>
      </c>
      <c r="D47" s="43"/>
    </row>
    <row r="48" spans="1:4">
      <c r="A48" s="6" t="s">
        <v>139</v>
      </c>
      <c r="B48" s="6" t="s">
        <v>140</v>
      </c>
      <c r="C48" s="42">
        <v>0</v>
      </c>
      <c r="D48" s="43"/>
    </row>
    <row r="49" spans="1:4">
      <c r="A49" s="6" t="s">
        <v>141</v>
      </c>
      <c r="B49" s="6" t="s">
        <v>142</v>
      </c>
      <c r="C49" s="42">
        <v>0</v>
      </c>
      <c r="D49" s="43"/>
    </row>
    <row r="50" spans="1:4">
      <c r="A50" s="6" t="s">
        <v>143</v>
      </c>
      <c r="B50" s="6" t="s">
        <v>144</v>
      </c>
      <c r="C50" s="42">
        <v>1</v>
      </c>
      <c r="D50" s="43" t="s">
        <v>1015</v>
      </c>
    </row>
    <row r="51" spans="1:4">
      <c r="A51" s="6" t="s">
        <v>145</v>
      </c>
      <c r="B51" s="6" t="s">
        <v>146</v>
      </c>
      <c r="C51" s="42">
        <v>0</v>
      </c>
      <c r="D51" s="43"/>
    </row>
    <row r="52" spans="1:4">
      <c r="A52" s="6" t="s">
        <v>147</v>
      </c>
      <c r="B52" s="6" t="s">
        <v>148</v>
      </c>
      <c r="C52" s="42">
        <v>0</v>
      </c>
      <c r="D52" s="43"/>
    </row>
    <row r="53" spans="1:4">
      <c r="A53" s="6" t="s">
        <v>149</v>
      </c>
      <c r="B53" s="6" t="s">
        <v>150</v>
      </c>
      <c r="C53" s="42">
        <v>0</v>
      </c>
      <c r="D53" s="43"/>
    </row>
    <row r="54" spans="1:4">
      <c r="A54" s="6" t="s">
        <v>151</v>
      </c>
      <c r="B54" s="6" t="s">
        <v>152</v>
      </c>
      <c r="C54" s="42">
        <v>0</v>
      </c>
      <c r="D54" s="43"/>
    </row>
    <row r="55" spans="1:4">
      <c r="A55" s="6" t="s">
        <v>153</v>
      </c>
      <c r="B55" s="6" t="s">
        <v>154</v>
      </c>
      <c r="C55" s="42">
        <v>1</v>
      </c>
      <c r="D55" s="43" t="s">
        <v>1016</v>
      </c>
    </row>
    <row r="56" spans="1:4">
      <c r="A56" s="6" t="s">
        <v>155</v>
      </c>
      <c r="B56" s="6" t="s">
        <v>156</v>
      </c>
      <c r="C56" s="42">
        <v>0</v>
      </c>
      <c r="D56" s="43"/>
    </row>
    <row r="57" spans="1:4">
      <c r="A57" s="6" t="s">
        <v>157</v>
      </c>
      <c r="B57" s="6" t="s">
        <v>158</v>
      </c>
      <c r="C57" s="42">
        <v>0</v>
      </c>
      <c r="D57" s="43"/>
    </row>
    <row r="58" spans="1:4">
      <c r="A58" s="6" t="s">
        <v>159</v>
      </c>
      <c r="B58" s="6" t="s">
        <v>160</v>
      </c>
      <c r="C58" s="42">
        <v>0</v>
      </c>
      <c r="D58" s="43"/>
    </row>
    <row r="59" spans="1:4">
      <c r="A59" s="6" t="s">
        <v>161</v>
      </c>
      <c r="B59" s="6" t="s">
        <v>162</v>
      </c>
      <c r="C59" s="42">
        <v>1</v>
      </c>
      <c r="D59" s="43" t="s">
        <v>1017</v>
      </c>
    </row>
    <row r="60" spans="1:4">
      <c r="A60" s="6" t="s">
        <v>163</v>
      </c>
      <c r="B60" s="6" t="s">
        <v>164</v>
      </c>
      <c r="C60" s="42">
        <v>0</v>
      </c>
      <c r="D60" s="43"/>
    </row>
    <row r="61" spans="1:4">
      <c r="A61" s="6" t="s">
        <v>165</v>
      </c>
      <c r="B61" s="6" t="s">
        <v>166</v>
      </c>
      <c r="C61" s="42">
        <v>0</v>
      </c>
      <c r="D61" s="43"/>
    </row>
    <row r="62" spans="1:4">
      <c r="A62" s="6" t="s">
        <v>167</v>
      </c>
      <c r="B62" s="6" t="s">
        <v>168</v>
      </c>
      <c r="C62" s="42">
        <v>0</v>
      </c>
      <c r="D62" s="43"/>
    </row>
    <row r="63" spans="1:4">
      <c r="A63" s="6" t="s">
        <v>169</v>
      </c>
      <c r="B63" s="6" t="s">
        <v>170</v>
      </c>
      <c r="C63" s="42">
        <v>0</v>
      </c>
      <c r="D63" s="43"/>
    </row>
    <row r="64" spans="1:4">
      <c r="A64" s="6" t="s">
        <v>171</v>
      </c>
      <c r="B64" s="6" t="s">
        <v>172</v>
      </c>
      <c r="C64" s="42">
        <v>0</v>
      </c>
      <c r="D64" s="43"/>
    </row>
    <row r="65" spans="1:4">
      <c r="A65" s="6" t="s">
        <v>173</v>
      </c>
      <c r="B65" s="6" t="s">
        <v>174</v>
      </c>
      <c r="C65" s="42">
        <v>0</v>
      </c>
      <c r="D65" s="43"/>
    </row>
    <row r="66" spans="1:4">
      <c r="A66" s="6" t="s">
        <v>175</v>
      </c>
      <c r="B66" s="6" t="s">
        <v>176</v>
      </c>
      <c r="C66" s="42">
        <v>0</v>
      </c>
      <c r="D66" s="43"/>
    </row>
    <row r="67" spans="1:4">
      <c r="A67" s="6" t="s">
        <v>177</v>
      </c>
      <c r="B67" s="6" t="s">
        <v>178</v>
      </c>
      <c r="C67" s="42">
        <v>0</v>
      </c>
      <c r="D67" s="43"/>
    </row>
    <row r="68" spans="1:4">
      <c r="A68" s="6" t="s">
        <v>179</v>
      </c>
      <c r="B68" s="6" t="s">
        <v>180</v>
      </c>
      <c r="C68" s="42">
        <v>0</v>
      </c>
      <c r="D68" s="43"/>
    </row>
    <row r="69" spans="1:4">
      <c r="A69" s="6" t="s">
        <v>181</v>
      </c>
      <c r="B69" s="6" t="s">
        <v>182</v>
      </c>
      <c r="C69" s="42">
        <v>0</v>
      </c>
      <c r="D69" s="43"/>
    </row>
    <row r="70" spans="1:4">
      <c r="A70" s="6" t="s">
        <v>183</v>
      </c>
      <c r="B70" s="6" t="s">
        <v>184</v>
      </c>
      <c r="C70" s="42">
        <v>0</v>
      </c>
      <c r="D70" s="43"/>
    </row>
    <row r="71" spans="1:4">
      <c r="A71" s="6" t="s">
        <v>185</v>
      </c>
      <c r="B71" s="6" t="s">
        <v>186</v>
      </c>
      <c r="C71" s="42">
        <v>0</v>
      </c>
      <c r="D71" s="43"/>
    </row>
    <row r="72" spans="1:4">
      <c r="A72" s="6" t="s">
        <v>187</v>
      </c>
      <c r="B72" s="6" t="s">
        <v>188</v>
      </c>
      <c r="C72" s="42">
        <v>0</v>
      </c>
      <c r="D72" s="43"/>
    </row>
    <row r="73" spans="1:4">
      <c r="A73" s="6" t="s">
        <v>189</v>
      </c>
      <c r="B73" s="6" t="s">
        <v>190</v>
      </c>
      <c r="C73" s="42">
        <v>0</v>
      </c>
      <c r="D73" s="43"/>
    </row>
    <row r="74" spans="1:4">
      <c r="A74" s="6" t="s">
        <v>191</v>
      </c>
      <c r="B74" s="6" t="s">
        <v>192</v>
      </c>
      <c r="C74" s="42">
        <v>0</v>
      </c>
      <c r="D74" s="43"/>
    </row>
    <row r="75" spans="1:4">
      <c r="A75" s="6" t="s">
        <v>193</v>
      </c>
      <c r="B75" s="6" t="s">
        <v>194</v>
      </c>
      <c r="C75" s="42">
        <v>0</v>
      </c>
      <c r="D75" s="43"/>
    </row>
    <row r="76" spans="1:4">
      <c r="A76" s="6" t="s">
        <v>195</v>
      </c>
      <c r="B76" s="6" t="s">
        <v>196</v>
      </c>
      <c r="C76" s="42">
        <v>1</v>
      </c>
      <c r="D76" s="43" t="s">
        <v>1018</v>
      </c>
    </row>
    <row r="77" spans="1:4">
      <c r="A77" s="6" t="s">
        <v>197</v>
      </c>
      <c r="B77" s="6" t="s">
        <v>198</v>
      </c>
      <c r="C77" s="42">
        <v>0</v>
      </c>
      <c r="D77" s="43"/>
    </row>
    <row r="78" spans="1:4">
      <c r="A78" s="6" t="s">
        <v>199</v>
      </c>
      <c r="B78" s="6" t="s">
        <v>200</v>
      </c>
      <c r="C78" s="42">
        <v>0</v>
      </c>
      <c r="D78" s="43"/>
    </row>
    <row r="79" spans="1:4">
      <c r="A79" s="6" t="s">
        <v>201</v>
      </c>
      <c r="B79" s="6" t="s">
        <v>202</v>
      </c>
      <c r="C79" s="42">
        <v>0</v>
      </c>
      <c r="D79" s="43"/>
    </row>
    <row r="80" spans="1:4">
      <c r="A80" s="6" t="s">
        <v>203</v>
      </c>
      <c r="B80" s="6" t="s">
        <v>204</v>
      </c>
      <c r="C80" s="42">
        <v>0</v>
      </c>
      <c r="D80" s="43"/>
    </row>
    <row r="81" spans="1:4">
      <c r="A81" s="6" t="s">
        <v>205</v>
      </c>
      <c r="B81" s="6" t="s">
        <v>206</v>
      </c>
      <c r="C81" s="42">
        <v>1</v>
      </c>
      <c r="D81" s="43" t="s">
        <v>1016</v>
      </c>
    </row>
    <row r="82" spans="1:4">
      <c r="A82" s="6" t="s">
        <v>207</v>
      </c>
      <c r="B82" s="6" t="s">
        <v>208</v>
      </c>
      <c r="C82" s="42">
        <v>0</v>
      </c>
      <c r="D82" s="43"/>
    </row>
    <row r="83" spans="1:4">
      <c r="A83" s="6" t="s">
        <v>209</v>
      </c>
      <c r="B83" s="6" t="s">
        <v>210</v>
      </c>
      <c r="C83" s="42">
        <v>0</v>
      </c>
      <c r="D83" s="43"/>
    </row>
    <row r="84" spans="1:4">
      <c r="A84" s="6" t="s">
        <v>211</v>
      </c>
      <c r="B84" s="6" t="s">
        <v>212</v>
      </c>
      <c r="C84" s="42">
        <v>1</v>
      </c>
      <c r="D84" s="43" t="s">
        <v>1019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D5805-0368-43D0-99AE-D12EA7B32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2026-06-17T17:28:07Z</dcterms:created>
  <dcterms:modified xsi:type="dcterms:W3CDTF">2026-06-22T13:33:03Z</dcterms:modified>
  <cp:category/>
  <cp:contentStatus/>
</cp:coreProperties>
</file>